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timot\Downloads\Acturial Projects\"/>
    </mc:Choice>
  </mc:AlternateContent>
  <xr:revisionPtr revIDLastSave="0" documentId="13_ncr:1_{BC842648-84C6-4904-BF48-023937B822F9}" xr6:coauthVersionLast="47" xr6:coauthVersionMax="47" xr10:uidLastSave="{00000000-0000-0000-0000-000000000000}"/>
  <bookViews>
    <workbookView xWindow="-98" yWindow="-98" windowWidth="21795" windowHeight="14595" xr2:uid="{00000000-000D-0000-FFFF-FFFF00000000}"/>
  </bookViews>
  <sheets>
    <sheet name="Instructions" sheetId="5" r:id="rId1"/>
    <sheet name="data" sheetId="1" r:id="rId2"/>
    <sheet name="Problem 1" sheetId="2" r:id="rId3"/>
    <sheet name="Problem 2" sheetId="3" r:id="rId4"/>
    <sheet name="Log" sheetId="6" state="hidden" r:id="rId5"/>
  </sheets>
  <externalReferences>
    <externalReference r:id="rId6"/>
  </externalReferences>
  <definedNames>
    <definedName name="_xlnm._FilterDatabase" localSheetId="1" hidden="1">data!$D$1:$J$213</definedName>
    <definedName name="AssrCheck15">'[1]15 and 20 Year Yields'!#REF!</definedName>
    <definedName name="AssrCheck20">'[1]15 and 20 Year Yields'!#REF!</definedName>
    <definedName name="ASSRINV">#REF!</definedName>
    <definedName name="USINV">#REF!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7" i="3" l="1"/>
  <c r="J57" i="3"/>
  <c r="I57" i="3"/>
  <c r="E57" i="3"/>
  <c r="D57" i="3"/>
  <c r="C57" i="3"/>
  <c r="K56" i="3"/>
  <c r="J56" i="3"/>
  <c r="I56" i="3"/>
  <c r="E56" i="3"/>
  <c r="D56" i="3"/>
  <c r="C56" i="3"/>
  <c r="K55" i="3"/>
  <c r="J55" i="3"/>
  <c r="I55" i="3"/>
  <c r="E55" i="3"/>
  <c r="D55" i="3"/>
  <c r="C55" i="3"/>
  <c r="K54" i="3"/>
  <c r="J54" i="3"/>
  <c r="I54" i="3"/>
  <c r="E54" i="3"/>
  <c r="D54" i="3"/>
  <c r="C54" i="3"/>
  <c r="K53" i="3"/>
  <c r="J53" i="3"/>
  <c r="I53" i="3"/>
  <c r="E53" i="3"/>
  <c r="D53" i="3"/>
  <c r="C53" i="3"/>
  <c r="K52" i="3"/>
  <c r="J52" i="3"/>
  <c r="I52" i="3"/>
  <c r="E52" i="3"/>
  <c r="D52" i="3"/>
  <c r="C52" i="3"/>
  <c r="K51" i="3"/>
  <c r="J51" i="3"/>
  <c r="I51" i="3"/>
  <c r="E51" i="3"/>
  <c r="D51" i="3"/>
  <c r="C51" i="3"/>
  <c r="K50" i="3"/>
  <c r="J50" i="3"/>
  <c r="I50" i="3"/>
  <c r="E50" i="3"/>
  <c r="D50" i="3"/>
  <c r="C50" i="3"/>
  <c r="K49" i="3"/>
  <c r="J49" i="3"/>
  <c r="I49" i="3"/>
  <c r="E49" i="3"/>
  <c r="D49" i="3"/>
  <c r="C49" i="3"/>
  <c r="K48" i="3"/>
  <c r="J48" i="3"/>
  <c r="I48" i="3"/>
  <c r="E48" i="3"/>
  <c r="D48" i="3"/>
  <c r="C48" i="3"/>
  <c r="K47" i="3"/>
  <c r="J47" i="3"/>
  <c r="I47" i="3"/>
  <c r="E47" i="3"/>
  <c r="D47" i="3"/>
  <c r="C47" i="3"/>
  <c r="K46" i="3"/>
  <c r="J46" i="3"/>
  <c r="I46" i="3"/>
  <c r="E46" i="3"/>
  <c r="D46" i="3"/>
  <c r="C46" i="3"/>
  <c r="K45" i="3"/>
  <c r="J45" i="3"/>
  <c r="I45" i="3"/>
  <c r="E45" i="3"/>
  <c r="D45" i="3"/>
  <c r="C45" i="3"/>
  <c r="K44" i="3"/>
  <c r="J44" i="3"/>
  <c r="I44" i="3"/>
  <c r="E44" i="3"/>
  <c r="D44" i="3"/>
  <c r="C44" i="3"/>
  <c r="K43" i="3"/>
  <c r="J43" i="3"/>
  <c r="I43" i="3"/>
  <c r="E43" i="3"/>
  <c r="D43" i="3"/>
  <c r="C43" i="3"/>
  <c r="K42" i="3"/>
  <c r="J42" i="3"/>
  <c r="I42" i="3"/>
  <c r="E42" i="3"/>
  <c r="D42" i="3"/>
  <c r="C42" i="3"/>
  <c r="K41" i="3"/>
  <c r="J41" i="3"/>
  <c r="I41" i="3"/>
  <c r="E41" i="3"/>
  <c r="D41" i="3"/>
  <c r="C41" i="3"/>
  <c r="K40" i="3"/>
  <c r="J40" i="3"/>
  <c r="I40" i="3"/>
  <c r="E40" i="3"/>
  <c r="D40" i="3"/>
  <c r="C40" i="3"/>
  <c r="K39" i="3"/>
  <c r="J39" i="3"/>
  <c r="I39" i="3"/>
  <c r="E39" i="3"/>
  <c r="D39" i="3"/>
  <c r="C39" i="3"/>
  <c r="K38" i="3"/>
  <c r="J38" i="3"/>
  <c r="I38" i="3"/>
  <c r="E38" i="3"/>
  <c r="D38" i="3"/>
  <c r="C38" i="3"/>
  <c r="K37" i="3"/>
  <c r="J37" i="3"/>
  <c r="I37" i="3"/>
  <c r="E37" i="3"/>
  <c r="D37" i="3"/>
  <c r="C37" i="3"/>
  <c r="K36" i="3"/>
  <c r="J36" i="3"/>
  <c r="I36" i="3"/>
  <c r="E36" i="3"/>
  <c r="D36" i="3"/>
  <c r="C36" i="3"/>
  <c r="K35" i="3"/>
  <c r="J35" i="3"/>
  <c r="I35" i="3"/>
  <c r="E35" i="3"/>
  <c r="D35" i="3"/>
  <c r="C35" i="3"/>
  <c r="K34" i="3"/>
  <c r="J34" i="3"/>
  <c r="I34" i="3"/>
  <c r="E34" i="3"/>
  <c r="D34" i="3"/>
  <c r="C34" i="3"/>
  <c r="K33" i="3"/>
  <c r="J33" i="3"/>
  <c r="I33" i="3"/>
  <c r="E33" i="3"/>
  <c r="D33" i="3"/>
  <c r="C33" i="3"/>
  <c r="K32" i="3"/>
  <c r="J32" i="3"/>
  <c r="I32" i="3"/>
  <c r="E32" i="3"/>
  <c r="D32" i="3"/>
  <c r="C32" i="3"/>
  <c r="K31" i="3"/>
  <c r="J31" i="3"/>
  <c r="I31" i="3"/>
  <c r="E31" i="3"/>
  <c r="D31" i="3"/>
  <c r="C31" i="3"/>
  <c r="K30" i="3"/>
  <c r="J30" i="3"/>
  <c r="I30" i="3"/>
  <c r="E30" i="3"/>
  <c r="D30" i="3"/>
  <c r="C30" i="3"/>
  <c r="K29" i="3"/>
  <c r="J29" i="3"/>
  <c r="I29" i="3"/>
  <c r="E29" i="3"/>
  <c r="D29" i="3"/>
  <c r="C29" i="3"/>
  <c r="K28" i="3"/>
  <c r="J28" i="3"/>
  <c r="I28" i="3"/>
  <c r="E28" i="3"/>
  <c r="D28" i="3"/>
  <c r="C28" i="3"/>
  <c r="K27" i="3"/>
  <c r="J27" i="3"/>
  <c r="I27" i="3"/>
  <c r="E27" i="3"/>
  <c r="D27" i="3"/>
  <c r="C27" i="3"/>
  <c r="K26" i="3"/>
  <c r="J26" i="3"/>
  <c r="I26" i="3"/>
  <c r="E26" i="3"/>
  <c r="D26" i="3"/>
  <c r="C26" i="3"/>
  <c r="K25" i="3"/>
  <c r="J25" i="3"/>
  <c r="I25" i="3"/>
  <c r="E25" i="3"/>
  <c r="D25" i="3"/>
  <c r="C25" i="3"/>
  <c r="K24" i="3"/>
  <c r="J24" i="3"/>
  <c r="I24" i="3"/>
  <c r="E24" i="3"/>
  <c r="D24" i="3"/>
  <c r="C24" i="3"/>
  <c r="K23" i="3"/>
  <c r="J23" i="3"/>
  <c r="I23" i="3"/>
  <c r="E23" i="3"/>
  <c r="D23" i="3"/>
  <c r="C23" i="3"/>
  <c r="K22" i="3"/>
  <c r="J22" i="3"/>
  <c r="I22" i="3"/>
  <c r="E22" i="3"/>
  <c r="D22" i="3"/>
  <c r="C22" i="3"/>
  <c r="K21" i="3"/>
  <c r="J21" i="3"/>
  <c r="I21" i="3"/>
  <c r="E21" i="3"/>
  <c r="D21" i="3"/>
  <c r="C21" i="3"/>
  <c r="K20" i="3"/>
  <c r="J20" i="3"/>
  <c r="I20" i="3"/>
  <c r="E20" i="3"/>
  <c r="D20" i="3"/>
  <c r="C20" i="3"/>
  <c r="K19" i="3"/>
  <c r="J19" i="3"/>
  <c r="I19" i="3"/>
  <c r="E19" i="3"/>
  <c r="D19" i="3"/>
  <c r="C19" i="3"/>
  <c r="K18" i="3"/>
  <c r="J18" i="3"/>
  <c r="I18" i="3"/>
  <c r="E18" i="3"/>
  <c r="D18" i="3"/>
  <c r="C18" i="3"/>
  <c r="K17" i="3"/>
  <c r="J17" i="3"/>
  <c r="I17" i="3"/>
  <c r="E17" i="3"/>
  <c r="D17" i="3"/>
  <c r="C17" i="3"/>
  <c r="K16" i="3"/>
  <c r="J16" i="3"/>
  <c r="I16" i="3"/>
  <c r="E16" i="3"/>
  <c r="D16" i="3"/>
  <c r="C16" i="3"/>
  <c r="K15" i="3"/>
  <c r="J15" i="3"/>
  <c r="I15" i="3"/>
  <c r="E15" i="3"/>
  <c r="D15" i="3"/>
  <c r="C15" i="3"/>
  <c r="K14" i="3"/>
  <c r="J14" i="3"/>
  <c r="I14" i="3"/>
  <c r="E14" i="3"/>
  <c r="D14" i="3"/>
  <c r="C14" i="3"/>
  <c r="K13" i="3"/>
  <c r="J13" i="3"/>
  <c r="I13" i="3"/>
  <c r="E13" i="3"/>
  <c r="D13" i="3"/>
  <c r="C13" i="3"/>
  <c r="K12" i="3"/>
  <c r="J12" i="3"/>
  <c r="I12" i="3"/>
  <c r="E12" i="3"/>
  <c r="D12" i="3"/>
  <c r="C12" i="3"/>
  <c r="K11" i="3"/>
  <c r="J11" i="3"/>
  <c r="I11" i="3"/>
  <c r="E11" i="3"/>
  <c r="D11" i="3"/>
  <c r="C11" i="3"/>
  <c r="K10" i="3"/>
  <c r="J10" i="3"/>
  <c r="I10" i="3"/>
  <c r="E10" i="3"/>
  <c r="D10" i="3"/>
  <c r="C10" i="3"/>
  <c r="K9" i="3"/>
  <c r="J9" i="3"/>
  <c r="I9" i="3"/>
  <c r="E9" i="3"/>
  <c r="D9" i="3"/>
  <c r="C9" i="3"/>
  <c r="K8" i="3"/>
  <c r="J8" i="3"/>
  <c r="I8" i="3"/>
  <c r="E8" i="3"/>
  <c r="D8" i="3"/>
  <c r="C8" i="3"/>
  <c r="K7" i="3"/>
  <c r="J7" i="3"/>
  <c r="I7" i="3"/>
  <c r="E7" i="3"/>
  <c r="D7" i="3"/>
  <c r="C7" i="3"/>
  <c r="C17" i="2"/>
  <c r="B17" i="2"/>
  <c r="C16" i="2"/>
  <c r="B16" i="2"/>
  <c r="C9" i="2"/>
  <c r="B9" i="2"/>
  <c r="C8" i="2"/>
  <c r="B8" i="2"/>
  <c r="C213" i="1"/>
  <c r="B213" i="1"/>
  <c r="A213" i="1"/>
  <c r="C212" i="1"/>
  <c r="B212" i="1"/>
  <c r="A212" i="1"/>
  <c r="C211" i="1"/>
  <c r="B211" i="1"/>
  <c r="A211" i="1"/>
  <c r="C210" i="1"/>
  <c r="B210" i="1"/>
  <c r="A210" i="1"/>
  <c r="C209" i="1"/>
  <c r="B209" i="1"/>
  <c r="A209" i="1"/>
  <c r="C208" i="1"/>
  <c r="B208" i="1"/>
  <c r="A208" i="1"/>
  <c r="C207" i="1"/>
  <c r="B207" i="1"/>
  <c r="A207" i="1"/>
  <c r="C206" i="1"/>
  <c r="B206" i="1"/>
  <c r="A206" i="1"/>
  <c r="C205" i="1"/>
  <c r="B205" i="1"/>
  <c r="A205" i="1"/>
  <c r="C204" i="1"/>
  <c r="B204" i="1"/>
  <c r="A204" i="1"/>
  <c r="C203" i="1"/>
  <c r="B203" i="1"/>
  <c r="A203" i="1"/>
  <c r="C202" i="1"/>
  <c r="B202" i="1"/>
  <c r="A202" i="1"/>
  <c r="C201" i="1"/>
  <c r="B201" i="1"/>
  <c r="A201" i="1"/>
  <c r="C200" i="1"/>
  <c r="B200" i="1"/>
  <c r="A200" i="1"/>
  <c r="C199" i="1"/>
  <c r="B199" i="1"/>
  <c r="A199" i="1"/>
  <c r="C198" i="1"/>
  <c r="B198" i="1"/>
  <c r="A198" i="1"/>
  <c r="C197" i="1"/>
  <c r="B197" i="1"/>
  <c r="A197" i="1"/>
  <c r="C196" i="1"/>
  <c r="B196" i="1"/>
  <c r="A196" i="1"/>
  <c r="C195" i="1"/>
  <c r="B195" i="1"/>
  <c r="A195" i="1"/>
  <c r="C194" i="1"/>
  <c r="B194" i="1"/>
  <c r="A194" i="1"/>
  <c r="C193" i="1"/>
  <c r="B193" i="1"/>
  <c r="A193" i="1"/>
  <c r="C192" i="1"/>
  <c r="B192" i="1"/>
  <c r="A192" i="1"/>
  <c r="C191" i="1"/>
  <c r="B191" i="1"/>
  <c r="A191" i="1"/>
  <c r="C190" i="1"/>
  <c r="B190" i="1"/>
  <c r="A190" i="1"/>
  <c r="C189" i="1"/>
  <c r="B189" i="1"/>
  <c r="A189" i="1"/>
  <c r="C188" i="1"/>
  <c r="B188" i="1"/>
  <c r="A188" i="1"/>
  <c r="C187" i="1"/>
  <c r="B187" i="1"/>
  <c r="A187" i="1"/>
  <c r="C186" i="1"/>
  <c r="B186" i="1"/>
  <c r="A186" i="1"/>
  <c r="C185" i="1"/>
  <c r="B185" i="1"/>
  <c r="A185" i="1"/>
  <c r="C184" i="1"/>
  <c r="B184" i="1"/>
  <c r="A184" i="1"/>
  <c r="C183" i="1"/>
  <c r="B183" i="1"/>
  <c r="A183" i="1"/>
  <c r="C182" i="1"/>
  <c r="B182" i="1"/>
  <c r="A182" i="1"/>
  <c r="C181" i="1"/>
  <c r="B181" i="1"/>
  <c r="A181" i="1"/>
  <c r="C180" i="1"/>
  <c r="B180" i="1"/>
  <c r="A180" i="1"/>
  <c r="C179" i="1"/>
  <c r="B179" i="1"/>
  <c r="A179" i="1"/>
  <c r="C178" i="1"/>
  <c r="B178" i="1"/>
  <c r="A178" i="1"/>
  <c r="C177" i="1"/>
  <c r="B177" i="1"/>
  <c r="A177" i="1"/>
  <c r="C176" i="1"/>
  <c r="B176" i="1"/>
  <c r="A176" i="1"/>
  <c r="C175" i="1"/>
  <c r="B175" i="1"/>
  <c r="A175" i="1"/>
  <c r="C174" i="1"/>
  <c r="B174" i="1"/>
  <c r="A174" i="1"/>
  <c r="C173" i="1"/>
  <c r="B173" i="1"/>
  <c r="A173" i="1"/>
  <c r="C172" i="1"/>
  <c r="B172" i="1"/>
  <c r="A172" i="1"/>
  <c r="C171" i="1"/>
  <c r="B171" i="1"/>
  <c r="A171" i="1"/>
  <c r="C170" i="1"/>
  <c r="B170" i="1"/>
  <c r="A170" i="1"/>
  <c r="C169" i="1"/>
  <c r="B169" i="1"/>
  <c r="A169" i="1"/>
  <c r="C168" i="1"/>
  <c r="B168" i="1"/>
  <c r="A168" i="1"/>
  <c r="C167" i="1"/>
  <c r="B167" i="1"/>
  <c r="A167" i="1"/>
  <c r="C166" i="1"/>
  <c r="B166" i="1"/>
  <c r="A166" i="1"/>
  <c r="C165" i="1"/>
  <c r="B165" i="1"/>
  <c r="A165" i="1"/>
  <c r="C164" i="1"/>
  <c r="B164" i="1"/>
  <c r="A164" i="1"/>
  <c r="C163" i="1"/>
  <c r="B163" i="1"/>
  <c r="A163" i="1"/>
  <c r="C162" i="1"/>
  <c r="B162" i="1"/>
  <c r="A162" i="1"/>
  <c r="C161" i="1"/>
  <c r="B161" i="1"/>
  <c r="A161" i="1"/>
  <c r="C160" i="1"/>
  <c r="B160" i="1"/>
  <c r="A160" i="1"/>
  <c r="C159" i="1"/>
  <c r="B159" i="1"/>
  <c r="A159" i="1"/>
  <c r="C158" i="1"/>
  <c r="B158" i="1"/>
  <c r="A158" i="1"/>
  <c r="C157" i="1"/>
  <c r="B157" i="1"/>
  <c r="A157" i="1"/>
  <c r="C156" i="1"/>
  <c r="B156" i="1"/>
  <c r="A156" i="1"/>
  <c r="C155" i="1"/>
  <c r="B155" i="1"/>
  <c r="A155" i="1"/>
  <c r="C154" i="1"/>
  <c r="B154" i="1"/>
  <c r="A154" i="1"/>
  <c r="C153" i="1"/>
  <c r="B153" i="1"/>
  <c r="A153" i="1"/>
  <c r="C152" i="1"/>
  <c r="B152" i="1"/>
  <c r="A152" i="1"/>
  <c r="C151" i="1"/>
  <c r="B151" i="1"/>
  <c r="A151" i="1"/>
  <c r="C150" i="1"/>
  <c r="B150" i="1"/>
  <c r="A150" i="1"/>
  <c r="C149" i="1"/>
  <c r="B149" i="1"/>
  <c r="A149" i="1"/>
  <c r="C148" i="1"/>
  <c r="B148" i="1"/>
  <c r="A148" i="1"/>
  <c r="C147" i="1"/>
  <c r="B147" i="1"/>
  <c r="A147" i="1"/>
  <c r="C146" i="1"/>
  <c r="B146" i="1"/>
  <c r="A146" i="1"/>
  <c r="C145" i="1"/>
  <c r="B145" i="1"/>
  <c r="A145" i="1"/>
  <c r="C144" i="1"/>
  <c r="B144" i="1"/>
  <c r="A144" i="1"/>
  <c r="C143" i="1"/>
  <c r="B143" i="1"/>
  <c r="A143" i="1"/>
  <c r="C142" i="1"/>
  <c r="B142" i="1"/>
  <c r="A142" i="1"/>
  <c r="C141" i="1"/>
  <c r="B141" i="1"/>
  <c r="A141" i="1"/>
  <c r="C140" i="1"/>
  <c r="B140" i="1"/>
  <c r="A140" i="1"/>
  <c r="C139" i="1"/>
  <c r="B139" i="1"/>
  <c r="A139" i="1"/>
  <c r="C138" i="1"/>
  <c r="B138" i="1"/>
  <c r="A138" i="1"/>
  <c r="C137" i="1"/>
  <c r="B137" i="1"/>
  <c r="A137" i="1"/>
  <c r="C136" i="1"/>
  <c r="B136" i="1"/>
  <c r="A136" i="1"/>
  <c r="C135" i="1"/>
  <c r="B135" i="1"/>
  <c r="A135" i="1"/>
  <c r="C134" i="1"/>
  <c r="B134" i="1"/>
  <c r="A134" i="1"/>
  <c r="C133" i="1"/>
  <c r="B133" i="1"/>
  <c r="A133" i="1"/>
  <c r="C132" i="1"/>
  <c r="B132" i="1"/>
  <c r="A132" i="1"/>
  <c r="C131" i="1"/>
  <c r="B131" i="1"/>
  <c r="A131" i="1"/>
  <c r="C130" i="1"/>
  <c r="B130" i="1"/>
  <c r="A130" i="1"/>
  <c r="C129" i="1"/>
  <c r="B129" i="1"/>
  <c r="A129" i="1"/>
  <c r="C128" i="1"/>
  <c r="B128" i="1"/>
  <c r="A128" i="1"/>
  <c r="C127" i="1"/>
  <c r="B127" i="1"/>
  <c r="A127" i="1"/>
  <c r="C126" i="1"/>
  <c r="B126" i="1"/>
  <c r="A126" i="1"/>
  <c r="C125" i="1"/>
  <c r="B125" i="1"/>
  <c r="A125" i="1"/>
  <c r="C124" i="1"/>
  <c r="B124" i="1"/>
  <c r="A124" i="1"/>
  <c r="C123" i="1"/>
  <c r="B123" i="1"/>
  <c r="A123" i="1"/>
  <c r="C122" i="1"/>
  <c r="B122" i="1"/>
  <c r="A122" i="1"/>
  <c r="C121" i="1"/>
  <c r="B121" i="1"/>
  <c r="A121" i="1"/>
  <c r="C120" i="1"/>
  <c r="B120" i="1"/>
  <c r="A120" i="1"/>
  <c r="C119" i="1"/>
  <c r="B119" i="1"/>
  <c r="A119" i="1"/>
  <c r="C118" i="1"/>
  <c r="B118" i="1"/>
  <c r="A118" i="1"/>
  <c r="C117" i="1"/>
  <c r="B117" i="1"/>
  <c r="A117" i="1"/>
  <c r="C116" i="1"/>
  <c r="B116" i="1"/>
  <c r="A116" i="1"/>
  <c r="C115" i="1"/>
  <c r="B115" i="1"/>
  <c r="A115" i="1"/>
  <c r="C114" i="1"/>
  <c r="B114" i="1"/>
  <c r="A114" i="1"/>
  <c r="C113" i="1"/>
  <c r="B113" i="1"/>
  <c r="A113" i="1"/>
  <c r="C112" i="1"/>
  <c r="B112" i="1"/>
  <c r="A112" i="1"/>
  <c r="C111" i="1"/>
  <c r="B111" i="1"/>
  <c r="A111" i="1"/>
  <c r="C110" i="1"/>
  <c r="B110" i="1"/>
  <c r="A110" i="1"/>
  <c r="C109" i="1"/>
  <c r="B109" i="1"/>
  <c r="A109" i="1"/>
  <c r="C108" i="1"/>
  <c r="B108" i="1"/>
  <c r="A108" i="1"/>
  <c r="C107" i="1"/>
  <c r="B107" i="1"/>
  <c r="A107" i="1"/>
  <c r="C106" i="1"/>
  <c r="B106" i="1"/>
  <c r="A106" i="1"/>
  <c r="C105" i="1"/>
  <c r="B105" i="1"/>
  <c r="A105" i="1"/>
  <c r="C104" i="1"/>
  <c r="B104" i="1"/>
  <c r="A104" i="1"/>
  <c r="C103" i="1"/>
  <c r="B103" i="1"/>
  <c r="A103" i="1"/>
  <c r="C102" i="1"/>
  <c r="B102" i="1"/>
  <c r="A102" i="1"/>
  <c r="C101" i="1"/>
  <c r="B101" i="1"/>
  <c r="A101" i="1"/>
  <c r="C100" i="1"/>
  <c r="B100" i="1"/>
  <c r="A100" i="1"/>
  <c r="C99" i="1"/>
  <c r="B99" i="1"/>
  <c r="A99" i="1"/>
  <c r="C98" i="1"/>
  <c r="B98" i="1"/>
  <c r="A98" i="1"/>
  <c r="C97" i="1"/>
  <c r="B97" i="1"/>
  <c r="A97" i="1"/>
  <c r="C96" i="1"/>
  <c r="B96" i="1"/>
  <c r="A96" i="1"/>
  <c r="C95" i="1"/>
  <c r="B95" i="1"/>
  <c r="A95" i="1"/>
  <c r="C94" i="1"/>
  <c r="B94" i="1"/>
  <c r="A94" i="1"/>
  <c r="C93" i="1"/>
  <c r="B93" i="1"/>
  <c r="A93" i="1"/>
  <c r="C92" i="1"/>
  <c r="B92" i="1"/>
  <c r="A92" i="1"/>
  <c r="C91" i="1"/>
  <c r="B91" i="1"/>
  <c r="A91" i="1"/>
  <c r="C90" i="1"/>
  <c r="B90" i="1"/>
  <c r="A90" i="1"/>
  <c r="C89" i="1"/>
  <c r="B89" i="1"/>
  <c r="A89" i="1"/>
  <c r="C88" i="1"/>
  <c r="B88" i="1"/>
  <c r="A88" i="1"/>
  <c r="C87" i="1"/>
  <c r="B87" i="1"/>
  <c r="A87" i="1"/>
  <c r="C86" i="1"/>
  <c r="B86" i="1"/>
  <c r="A86" i="1"/>
  <c r="C85" i="1"/>
  <c r="B85" i="1"/>
  <c r="A85" i="1"/>
  <c r="C84" i="1"/>
  <c r="B84" i="1"/>
  <c r="A84" i="1"/>
  <c r="C83" i="1"/>
  <c r="B83" i="1"/>
  <c r="A83" i="1"/>
  <c r="C82" i="1"/>
  <c r="B82" i="1"/>
  <c r="A82" i="1"/>
  <c r="C81" i="1"/>
  <c r="B81" i="1"/>
  <c r="A81" i="1"/>
  <c r="C80" i="1"/>
  <c r="B80" i="1"/>
  <c r="A80" i="1"/>
  <c r="C79" i="1"/>
  <c r="B79" i="1"/>
  <c r="A79" i="1"/>
  <c r="C78" i="1"/>
  <c r="B78" i="1"/>
  <c r="A78" i="1"/>
  <c r="C77" i="1"/>
  <c r="B77" i="1"/>
  <c r="A77" i="1"/>
  <c r="C76" i="1"/>
  <c r="B76" i="1"/>
  <c r="A76" i="1"/>
  <c r="C75" i="1"/>
  <c r="B75" i="1"/>
  <c r="A75" i="1"/>
  <c r="C74" i="1"/>
  <c r="B74" i="1"/>
  <c r="A74" i="1"/>
  <c r="C73" i="1"/>
  <c r="B73" i="1"/>
  <c r="A73" i="1"/>
  <c r="C72" i="1"/>
  <c r="B72" i="1"/>
  <c r="A72" i="1"/>
  <c r="C71" i="1"/>
  <c r="B71" i="1"/>
  <c r="A71" i="1"/>
  <c r="C70" i="1"/>
  <c r="B70" i="1"/>
  <c r="A70" i="1"/>
  <c r="C69" i="1"/>
  <c r="B69" i="1"/>
  <c r="A69" i="1"/>
  <c r="C68" i="1"/>
  <c r="B68" i="1"/>
  <c r="A68" i="1"/>
  <c r="C67" i="1"/>
  <c r="B67" i="1"/>
  <c r="A67" i="1"/>
  <c r="C66" i="1"/>
  <c r="B66" i="1"/>
  <c r="A66" i="1"/>
  <c r="C65" i="1"/>
  <c r="B65" i="1"/>
  <c r="A65" i="1"/>
  <c r="C64" i="1"/>
  <c r="B64" i="1"/>
  <c r="A64" i="1"/>
  <c r="C63" i="1"/>
  <c r="B63" i="1"/>
  <c r="A63" i="1"/>
  <c r="C62" i="1"/>
  <c r="B62" i="1"/>
  <c r="A62" i="1"/>
  <c r="C61" i="1"/>
  <c r="B61" i="1"/>
  <c r="A61" i="1"/>
  <c r="C60" i="1"/>
  <c r="B60" i="1"/>
  <c r="A60" i="1"/>
  <c r="C59" i="1"/>
  <c r="B59" i="1"/>
  <c r="A59" i="1"/>
  <c r="C58" i="1"/>
  <c r="B58" i="1"/>
  <c r="A58" i="1"/>
  <c r="C57" i="1"/>
  <c r="B57" i="1"/>
  <c r="A57" i="1"/>
  <c r="C56" i="1"/>
  <c r="B56" i="1"/>
  <c r="A56" i="1"/>
  <c r="C55" i="1"/>
  <c r="B55" i="1"/>
  <c r="A55" i="1"/>
  <c r="C54" i="1"/>
  <c r="B54" i="1"/>
  <c r="A54" i="1"/>
  <c r="C53" i="1"/>
  <c r="B53" i="1"/>
  <c r="A53" i="1"/>
  <c r="C52" i="1"/>
  <c r="B52" i="1"/>
  <c r="A52" i="1"/>
  <c r="C51" i="1"/>
  <c r="B51" i="1"/>
  <c r="A51" i="1"/>
  <c r="C50" i="1"/>
  <c r="B50" i="1"/>
  <c r="A50" i="1"/>
  <c r="C49" i="1"/>
  <c r="B49" i="1"/>
  <c r="A49" i="1"/>
  <c r="C48" i="1"/>
  <c r="B48" i="1"/>
  <c r="A48" i="1"/>
  <c r="C47" i="1"/>
  <c r="B47" i="1"/>
  <c r="A47" i="1"/>
  <c r="C46" i="1"/>
  <c r="B46" i="1"/>
  <c r="A46" i="1"/>
  <c r="C45" i="1"/>
  <c r="B45" i="1"/>
  <c r="A45" i="1"/>
  <c r="C44" i="1"/>
  <c r="B44" i="1"/>
  <c r="A44" i="1"/>
  <c r="C43" i="1"/>
  <c r="B43" i="1"/>
  <c r="A43" i="1"/>
  <c r="C42" i="1"/>
  <c r="B42" i="1"/>
  <c r="A42" i="1"/>
  <c r="C41" i="1"/>
  <c r="B41" i="1"/>
  <c r="A41" i="1"/>
  <c r="C40" i="1"/>
  <c r="B40" i="1"/>
  <c r="A40" i="1"/>
  <c r="C39" i="1"/>
  <c r="B39" i="1"/>
  <c r="A39" i="1"/>
  <c r="C38" i="1"/>
  <c r="B38" i="1"/>
  <c r="A38" i="1"/>
  <c r="C37" i="1"/>
  <c r="B37" i="1"/>
  <c r="A37" i="1"/>
  <c r="C36" i="1"/>
  <c r="B36" i="1"/>
  <c r="A36" i="1"/>
  <c r="C35" i="1"/>
  <c r="B35" i="1"/>
  <c r="A35" i="1"/>
  <c r="C34" i="1"/>
  <c r="B34" i="1"/>
  <c r="A34" i="1"/>
  <c r="C33" i="1"/>
  <c r="B33" i="1"/>
  <c r="A33" i="1"/>
  <c r="C32" i="1"/>
  <c r="B32" i="1"/>
  <c r="A32" i="1"/>
  <c r="C31" i="1"/>
  <c r="B31" i="1"/>
  <c r="A31" i="1"/>
  <c r="C30" i="1"/>
  <c r="B30" i="1"/>
  <c r="A30" i="1"/>
  <c r="C29" i="1"/>
  <c r="B29" i="1"/>
  <c r="A29" i="1"/>
  <c r="C28" i="1"/>
  <c r="B28" i="1"/>
  <c r="A28" i="1"/>
  <c r="C27" i="1"/>
  <c r="B27" i="1"/>
  <c r="A27" i="1"/>
  <c r="C26" i="1"/>
  <c r="B26" i="1"/>
  <c r="A26" i="1"/>
  <c r="C25" i="1"/>
  <c r="B25" i="1"/>
  <c r="A25" i="1"/>
  <c r="C24" i="1"/>
  <c r="B24" i="1"/>
  <c r="A24" i="1"/>
  <c r="C23" i="1"/>
  <c r="B23" i="1"/>
  <c r="A23" i="1"/>
  <c r="C22" i="1"/>
  <c r="B22" i="1"/>
  <c r="A22" i="1"/>
  <c r="C21" i="1"/>
  <c r="B21" i="1"/>
  <c r="A21" i="1"/>
  <c r="C20" i="1"/>
  <c r="B20" i="1"/>
  <c r="A20" i="1"/>
  <c r="C19" i="1"/>
  <c r="B19" i="1"/>
  <c r="A19" i="1"/>
  <c r="C18" i="1"/>
  <c r="B18" i="1"/>
  <c r="A18" i="1"/>
  <c r="C17" i="1"/>
  <c r="B17" i="1"/>
  <c r="A17" i="1"/>
  <c r="C16" i="1"/>
  <c r="B16" i="1"/>
  <c r="A16" i="1"/>
  <c r="C15" i="1"/>
  <c r="B15" i="1"/>
  <c r="A15" i="1"/>
  <c r="C14" i="1"/>
  <c r="B14" i="1"/>
  <c r="A14" i="1"/>
  <c r="C13" i="1"/>
  <c r="B13" i="1"/>
  <c r="A13" i="1"/>
  <c r="C12" i="1"/>
  <c r="B12" i="1"/>
  <c r="A12" i="1"/>
  <c r="C11" i="1"/>
  <c r="B11" i="1"/>
  <c r="A11" i="1"/>
  <c r="C10" i="1"/>
  <c r="B10" i="1"/>
  <c r="A10" i="1"/>
  <c r="C9" i="1"/>
  <c r="B9" i="1"/>
  <c r="A9" i="1"/>
  <c r="C8" i="1"/>
  <c r="B8" i="1"/>
  <c r="A8" i="1"/>
  <c r="C7" i="1"/>
  <c r="B7" i="1"/>
  <c r="A7" i="1"/>
  <c r="C6" i="1"/>
  <c r="B6" i="1"/>
  <c r="A6" i="1"/>
  <c r="C5" i="1"/>
  <c r="B5" i="1"/>
  <c r="A5" i="1"/>
  <c r="C4" i="1"/>
  <c r="B4" i="1"/>
  <c r="A4" i="1"/>
  <c r="C3" i="1"/>
  <c r="B3" i="1"/>
  <c r="A3" i="1"/>
  <c r="C2" i="1"/>
  <c r="B2" i="1"/>
  <c r="A2" i="1"/>
  <c r="F35" i="3" l="1"/>
  <c r="L56" i="3"/>
  <c r="L30" i="3"/>
  <c r="M15" i="3"/>
  <c r="G16" i="3"/>
  <c r="F16" i="3"/>
  <c r="L23" i="3"/>
  <c r="F26" i="3"/>
  <c r="L7" i="3"/>
  <c r="M20" i="3"/>
  <c r="F7" i="3"/>
  <c r="M57" i="3"/>
  <c r="F57" i="3"/>
  <c r="F56" i="3"/>
  <c r="M55" i="3"/>
  <c r="M47" i="3"/>
  <c r="M45" i="3"/>
  <c r="M44" i="3"/>
  <c r="M39" i="3"/>
  <c r="M29" i="3"/>
  <c r="M13" i="3"/>
  <c r="M12" i="3"/>
  <c r="F11" i="3"/>
  <c r="G8" i="3"/>
  <c r="G10" i="3"/>
  <c r="L13" i="3"/>
  <c r="G14" i="3"/>
  <c r="G15" i="3"/>
  <c r="L17" i="3"/>
  <c r="M18" i="3"/>
  <c r="F20" i="3"/>
  <c r="G23" i="3"/>
  <c r="L25" i="3"/>
  <c r="G26" i="3"/>
  <c r="F29" i="3"/>
  <c r="G30" i="3"/>
  <c r="G31" i="3"/>
  <c r="M34" i="3"/>
  <c r="G35" i="3"/>
  <c r="M36" i="3"/>
  <c r="G39" i="3"/>
  <c r="G42" i="3"/>
  <c r="M42" i="3"/>
  <c r="P42" i="3" s="1"/>
  <c r="L45" i="3"/>
  <c r="G46" i="3"/>
  <c r="L49" i="3"/>
  <c r="O49" i="3" s="1"/>
  <c r="M52" i="3"/>
  <c r="M53" i="3"/>
  <c r="G7" i="3"/>
  <c r="F52" i="3"/>
  <c r="F49" i="3"/>
  <c r="L47" i="3"/>
  <c r="L44" i="3"/>
  <c r="F40" i="3"/>
  <c r="G36" i="3"/>
  <c r="M35" i="3"/>
  <c r="L34" i="3"/>
  <c r="F33" i="3"/>
  <c r="L31" i="3"/>
  <c r="F30" i="3"/>
  <c r="M24" i="3"/>
  <c r="F24" i="3"/>
  <c r="F23" i="3"/>
  <c r="F17" i="3"/>
  <c r="F14" i="3"/>
  <c r="G13" i="3"/>
  <c r="L12" i="3"/>
  <c r="O56" i="3"/>
  <c r="P35" i="3" l="1"/>
  <c r="L50" i="3"/>
  <c r="F22" i="3"/>
  <c r="L52" i="3"/>
  <c r="O52" i="3" s="1"/>
  <c r="G41" i="3"/>
  <c r="M56" i="3"/>
  <c r="F54" i="3"/>
  <c r="M50" i="3"/>
  <c r="L33" i="3"/>
  <c r="O33" i="3" s="1"/>
  <c r="F46" i="3"/>
  <c r="M54" i="3"/>
  <c r="G38" i="3"/>
  <c r="M26" i="3"/>
  <c r="P26" i="3" s="1"/>
  <c r="G24" i="3"/>
  <c r="P24" i="3" s="1"/>
  <c r="G33" i="3"/>
  <c r="F9" i="3"/>
  <c r="L51" i="3"/>
  <c r="L42" i="3"/>
  <c r="F8" i="3"/>
  <c r="L22" i="3"/>
  <c r="O22" i="3" s="1"/>
  <c r="F55" i="3"/>
  <c r="L36" i="3"/>
  <c r="L28" i="3"/>
  <c r="F39" i="3"/>
  <c r="O7" i="3"/>
  <c r="L27" i="3"/>
  <c r="F36" i="3"/>
  <c r="G56" i="3"/>
  <c r="F13" i="3"/>
  <c r="O13" i="3" s="1"/>
  <c r="F10" i="3"/>
  <c r="M37" i="3"/>
  <c r="F19" i="3"/>
  <c r="F53" i="3"/>
  <c r="P15" i="3"/>
  <c r="L15" i="3"/>
  <c r="M41" i="3"/>
  <c r="P41" i="3" s="1"/>
  <c r="G45" i="3"/>
  <c r="P45" i="3" s="1"/>
  <c r="L9" i="3"/>
  <c r="L35" i="3"/>
  <c r="O35" i="3" s="1"/>
  <c r="F43" i="3"/>
  <c r="L8" i="3"/>
  <c r="M43" i="3"/>
  <c r="F51" i="3"/>
  <c r="F45" i="3"/>
  <c r="O45" i="3" s="1"/>
  <c r="O23" i="3"/>
  <c r="F15" i="3"/>
  <c r="F38" i="3"/>
  <c r="M19" i="3"/>
  <c r="P52" i="3"/>
  <c r="M8" i="3"/>
  <c r="O17" i="3"/>
  <c r="G20" i="3"/>
  <c r="P20" i="3" s="1"/>
  <c r="L54" i="3"/>
  <c r="G52" i="3"/>
  <c r="P36" i="3"/>
  <c r="G34" i="3"/>
  <c r="P34" i="3" s="1"/>
  <c r="G32" i="3"/>
  <c r="L29" i="3"/>
  <c r="O29" i="3" s="1"/>
  <c r="M22" i="3"/>
  <c r="P22" i="3" s="1"/>
  <c r="G18" i="3"/>
  <c r="P18" i="3" s="1"/>
  <c r="G11" i="3"/>
  <c r="G9" i="3"/>
  <c r="P13" i="3"/>
  <c r="G17" i="3"/>
  <c r="M28" i="3"/>
  <c r="G40" i="3"/>
  <c r="L11" i="3"/>
  <c r="O11" i="3" s="1"/>
  <c r="L53" i="3"/>
  <c r="O53" i="3" s="1"/>
  <c r="M33" i="3"/>
  <c r="P33" i="3" s="1"/>
  <c r="L41" i="3"/>
  <c r="L16" i="3"/>
  <c r="O16" i="3" s="1"/>
  <c r="F21" i="3"/>
  <c r="F28" i="3"/>
  <c r="O28" i="3" s="1"/>
  <c r="P39" i="3"/>
  <c r="F50" i="3"/>
  <c r="O50" i="3" s="1"/>
  <c r="M32" i="3"/>
  <c r="G57" i="3"/>
  <c r="P57" i="3" s="1"/>
  <c r="L43" i="3"/>
  <c r="O36" i="3"/>
  <c r="M48" i="3"/>
  <c r="P8" i="3"/>
  <c r="G54" i="3"/>
  <c r="P54" i="3" s="1"/>
  <c r="G50" i="3"/>
  <c r="G43" i="3"/>
  <c r="M38" i="3"/>
  <c r="P38" i="3" s="1"/>
  <c r="G27" i="3"/>
  <c r="L32" i="3"/>
  <c r="F37" i="3"/>
  <c r="F44" i="3"/>
  <c r="O44" i="3" s="1"/>
  <c r="G48" i="3"/>
  <c r="G21" i="3"/>
  <c r="G28" i="3"/>
  <c r="L20" i="3"/>
  <c r="O20" i="3" s="1"/>
  <c r="G25" i="3"/>
  <c r="F41" i="3"/>
  <c r="L55" i="3"/>
  <c r="O55" i="3" s="1"/>
  <c r="O30" i="3"/>
  <c r="L46" i="3"/>
  <c r="L39" i="3"/>
  <c r="M9" i="3"/>
  <c r="M51" i="3"/>
  <c r="G47" i="3"/>
  <c r="P47" i="3" s="1"/>
  <c r="G22" i="3"/>
  <c r="M10" i="3"/>
  <c r="P10" i="3" s="1"/>
  <c r="F18" i="3"/>
  <c r="L48" i="3"/>
  <c r="M7" i="3"/>
  <c r="P7" i="3" s="1"/>
  <c r="L14" i="3"/>
  <c r="O14" i="3" s="1"/>
  <c r="G37" i="3"/>
  <c r="P37" i="3" s="1"/>
  <c r="F48" i="3"/>
  <c r="M27" i="3"/>
  <c r="G12" i="3"/>
  <c r="P12" i="3" s="1"/>
  <c r="L26" i="3"/>
  <c r="O26" i="3" s="1"/>
  <c r="M11" i="3"/>
  <c r="P11" i="3" s="1"/>
  <c r="F32" i="3"/>
  <c r="G44" i="3"/>
  <c r="P44" i="3" s="1"/>
  <c r="L57" i="3"/>
  <c r="O57" i="3" s="1"/>
  <c r="M21" i="3"/>
  <c r="M31" i="3"/>
  <c r="P31" i="3" s="1"/>
  <c r="L18" i="3"/>
  <c r="M25" i="3"/>
  <c r="G29" i="3"/>
  <c r="P29" i="3" s="1"/>
  <c r="M40" i="3"/>
  <c r="G55" i="3"/>
  <c r="P55" i="3" s="1"/>
  <c r="G53" i="3"/>
  <c r="P53" i="3" s="1"/>
  <c r="G51" i="3"/>
  <c r="M46" i="3"/>
  <c r="P46" i="3" s="1"/>
  <c r="L37" i="3"/>
  <c r="M30" i="3"/>
  <c r="P30" i="3" s="1"/>
  <c r="L21" i="3"/>
  <c r="G19" i="3"/>
  <c r="M14" i="3"/>
  <c r="P14" i="3" s="1"/>
  <c r="F12" i="3"/>
  <c r="O12" i="3" s="1"/>
  <c r="L19" i="3"/>
  <c r="M23" i="3"/>
  <c r="P23" i="3" s="1"/>
  <c r="F27" i="3"/>
  <c r="F34" i="3"/>
  <c r="O34" i="3" s="1"/>
  <c r="L38" i="3"/>
  <c r="G49" i="3"/>
  <c r="F31" i="3"/>
  <c r="O31" i="3" s="1"/>
  <c r="M49" i="3"/>
  <c r="L40" i="3"/>
  <c r="O40" i="3" s="1"/>
  <c r="M17" i="3"/>
  <c r="L10" i="3"/>
  <c r="F25" i="3"/>
  <c r="O25" i="3" s="1"/>
  <c r="M16" i="3"/>
  <c r="P16" i="3" s="1"/>
  <c r="F47" i="3"/>
  <c r="O47" i="3" s="1"/>
  <c r="L24" i="3"/>
  <c r="O24" i="3" s="1"/>
  <c r="F42" i="3"/>
  <c r="P40" i="3" l="1"/>
  <c r="P28" i="3"/>
  <c r="P32" i="3"/>
  <c r="O54" i="3"/>
  <c r="O51" i="3"/>
  <c r="O42" i="3"/>
  <c r="O38" i="3"/>
  <c r="P9" i="3"/>
  <c r="O8" i="3"/>
  <c r="O9" i="3"/>
  <c r="P56" i="3"/>
  <c r="P25" i="3"/>
  <c r="P27" i="3"/>
  <c r="P50" i="3"/>
  <c r="O27" i="3"/>
  <c r="P43" i="3"/>
  <c r="O39" i="3"/>
  <c r="O46" i="3"/>
  <c r="O10" i="3"/>
  <c r="O19" i="3"/>
  <c r="O43" i="3"/>
  <c r="P17" i="3"/>
  <c r="O37" i="3"/>
  <c r="O15" i="3"/>
  <c r="P51" i="3"/>
  <c r="P19" i="3"/>
  <c r="O32" i="3"/>
  <c r="P21" i="3"/>
  <c r="O48" i="3"/>
  <c r="O41" i="3"/>
  <c r="O18" i="3"/>
  <c r="P49" i="3"/>
  <c r="O21" i="3"/>
  <c r="P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Rama Duvvuri</author>
  </authors>
  <commentList>
    <comment ref="A2" authorId="0" shapeId="0" xr:uid="{00000000-0006-0000-0000-000001000000}">
      <text>
        <r>
          <rPr>
            <sz val="10"/>
            <color indexed="81"/>
            <rFont val="Tahoma"/>
            <family val="2"/>
          </rPr>
          <t>All problems reference the data on the "data" tab.  Feel free to add look up columns and use named ranges in your solutions.</t>
        </r>
        <r>
          <rPr>
            <b/>
            <sz val="10"/>
            <color indexed="81"/>
            <rFont val="Tahoma"/>
            <family val="2"/>
          </rPr>
          <t xml:space="preserve">
</t>
        </r>
        <r>
          <rPr>
            <sz val="10"/>
            <color indexed="81"/>
            <rFont val="Tahoma"/>
            <family val="2"/>
          </rPr>
          <t xml:space="preserve">
Note that the deductible column contains a code which means the following:
'500N' = $500 deductible without additional water coverage
'500W' = $500 deductible with additional water coverage
'1000N' = $1000 deductible without additional water coverage
'1000W' = $1000 deductible with additional water coverage
Problems:
1. 
a)  
Calculate the claim frequency for </t>
        </r>
        <r>
          <rPr>
            <b/>
            <sz val="10"/>
            <color indexed="81"/>
            <rFont val="Tahoma"/>
            <family val="2"/>
          </rPr>
          <t>Texas</t>
        </r>
        <r>
          <rPr>
            <sz val="10"/>
            <color indexed="81"/>
            <rFont val="Tahoma"/>
            <family val="2"/>
          </rPr>
          <t xml:space="preserve"> broken out by deductible and water coverage status using VLOOKUP formulas.  Claim Frequency is the total number of claim counts divided by the total number of exposure units.  Express your answer in a percent with 1 decimal place.  
Note that California and Texas have two different divisions of the state, but this question targets statewide totals.  Feel free to add lookup columns as you see fit.
b) 
Repeat part (a) using a sumif formula instead.  You may want to create an additional lookup column.
2.
Fill out the spreadsheet in problem 2.  You should sumifs the data for the 'Exposure Units', 'Claim Counts' and 'Loss Amounts' columns from the data tab .  Again, feel free to add the necessary lookup columns.  Also, using the 'N' and 'W' references in Row 1 as well proper absolute and cell references, you should be able to complete the sumif portion of the spreadsheet by </t>
        </r>
        <r>
          <rPr>
            <b/>
            <sz val="10"/>
            <color indexed="81"/>
            <rFont val="Tahoma"/>
            <family val="2"/>
          </rPr>
          <t>only typing formulas in cells C7 and I7</t>
        </r>
        <r>
          <rPr>
            <sz val="10"/>
            <color indexed="81"/>
            <rFont val="Tahoma"/>
            <family val="2"/>
          </rPr>
          <t xml:space="preserve"> and copying across the remaining cells.
Calculated cells (Column F, G, L, &amp; M):
Claim Frequency = Claim Counts / Exposure Units
Pure Premium = Loss Amount / Exposure Units
Diff in Frequency = frequency with water coverage - frequency without water coverage
Diff in Pure Premium = pure premium with water coverage - pure premium without water coverage
Formatting 
Loss Amount and Pure Premium columns should be formatted with US currency and two decimal places.
Claim Frequency columns should be formated in percetages with 2 decimal places.
Exposure Units should be formated with a comma and no decimal places.
</t>
        </r>
      </text>
    </comment>
  </commentList>
</comments>
</file>

<file path=xl/sharedStrings.xml><?xml version="1.0" encoding="utf-8"?>
<sst xmlns="http://schemas.openxmlformats.org/spreadsheetml/2006/main" count="558" uniqueCount="105">
  <si>
    <t>STATE</t>
  </si>
  <si>
    <t>DIVISION</t>
  </si>
  <si>
    <t>DEDUCTIBLE</t>
  </si>
  <si>
    <t>EXPOSURE UNITS</t>
  </si>
  <si>
    <t>CLAIM COUNTS</t>
  </si>
  <si>
    <t>AL</t>
  </si>
  <si>
    <t>500</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</si>
  <si>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</si>
  <si>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</si>
  <si>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</si>
  <si>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</si>
  <si>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</si>
  <si>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</si>
  <si>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</si>
  <si>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</si>
  <si>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</si>
  <si>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</si>
  <si>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</si>
  <si>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</si>
  <si>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</si>
  <si>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</si>
  <si>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</si>
  <si>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</si>
  <si>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</si>
  <si>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</si>
  <si>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</si>
  <si>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</si>
  <si>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</si>
  <si>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</si>
  <si>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</si>
  <si>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</si>
  <si>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</si>
  <si>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</si>
  <si>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</si>
  <si>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</si>
  <si>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</si>
  <si>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</si>
  <si>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</si>
  <si>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</si>
  <si>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</si>
  <si>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</si>
  <si>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</si>
  <si>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</si>
  <si>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</si>
  <si>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</si>
  <si>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</si>
  <si>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</si>
  <si>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</si>
  <si>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</si>
  <si>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</si>
  <si>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</si>
  <si>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</si>
  <si>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</si>
  <si>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</si>
  <si>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</si>
  <si>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</si>
  <si>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</si>
  <si>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500W</t>
  </si>
  <si>
    <t>1000</t>
  </si>
  <si>
    <t>1000W</t>
  </si>
  <si>
    <t>LOSS AMOUNT</t>
  </si>
  <si>
    <t>PREMIUM</t>
  </si>
  <si>
    <t>Deductible</t>
  </si>
  <si>
    <t>500N</t>
  </si>
  <si>
    <t>1000N</t>
  </si>
  <si>
    <t>Water Coverage</t>
  </si>
  <si>
    <t>N</t>
  </si>
  <si>
    <t>W</t>
  </si>
  <si>
    <t>SUMIF:</t>
  </si>
  <si>
    <t>VLOOKUP:</t>
  </si>
  <si>
    <t>State</t>
  </si>
  <si>
    <t>Policies Without Water Coverage</t>
  </si>
  <si>
    <t>Policies With Water Coverage</t>
  </si>
  <si>
    <t>Exposure</t>
  </si>
  <si>
    <t>Pure</t>
  </si>
  <si>
    <t>Premium</t>
  </si>
  <si>
    <t>Difference</t>
  </si>
  <si>
    <t>P. Prem.</t>
  </si>
  <si>
    <t>Units</t>
  </si>
  <si>
    <t>Claim</t>
  </si>
  <si>
    <t>Counts</t>
  </si>
  <si>
    <t>Loss</t>
  </si>
  <si>
    <t>Amount</t>
  </si>
  <si>
    <t>Frequency</t>
  </si>
  <si>
    <t>Division</t>
  </si>
  <si>
    <t>Look up reference</t>
  </si>
  <si>
    <t>Timestamp</t>
  </si>
  <si>
    <t>Username</t>
  </si>
  <si>
    <t>ULID:</t>
  </si>
  <si>
    <t>09-10-13 04 51 24 PM</t>
  </si>
  <si>
    <t>chuang</t>
  </si>
  <si>
    <t>02-04-14 04 01 48 PM</t>
  </si>
  <si>
    <t>pl6y</t>
  </si>
  <si>
    <t>Taxes Claim Frequency by Deductible</t>
  </si>
  <si>
    <t>09-02-14 03 56 56 PM</t>
  </si>
  <si>
    <t>09-02-14 03 57 08 PM</t>
  </si>
  <si>
    <t>01-27-15 03 19 52 PM</t>
  </si>
  <si>
    <t>01-27-15 03 19 54 PM</t>
  </si>
  <si>
    <t>Lookup2</t>
  </si>
  <si>
    <t>Lookup 1b</t>
  </si>
  <si>
    <t>LOOKUP 1a</t>
  </si>
  <si>
    <t>09-15-15 01 14 10 PM</t>
  </si>
  <si>
    <t>09-15-15 02 55 25 PM</t>
  </si>
  <si>
    <t>08-08-25 01 07 49 PM</t>
  </si>
  <si>
    <t>timot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</si>
</sst>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
    <numFmt numFmtId="166" formatCode="&quot;$&quot;#,##0.00"/>
    <numFmt numFmtId="167" formatCode="_-* #,##0_-;\-* #,##0_-;_-* &quot;-&quot;??_-;_-@_-"/>
    <numFmt numFmtId="168" formatCode="&quot;$&quot;#,##0.00;[Red]&quot;$&quot;#,##0.00"/>
  </numFmts>
  <fonts count="8" x14ac:knownFonts="1">
    <font>
      <sz val="10"/>
      <name val="Arial"/>
    </font>
    <font>
      <sz val="10"/>
      <name val="Arial"/>
      <family val="2"/>
    </font>
    <font>
      <sz val="8"/>
      <name val="Arial"/>
      <family val="2"/>
    </font>
    <font>
      <u/>
      <sz val="10"/>
      <name val="Arial"/>
      <family val="2"/>
    </font>
    <font>
      <sz val="10"/>
      <color indexed="81"/>
      <name val="Tahoma"/>
      <family val="2"/>
    </font>
    <font>
      <b/>
      <sz val="10"/>
      <color indexed="81"/>
      <name val="Tahoma"/>
      <family val="2"/>
    </font>
    <font>
      <sz val="10"/>
      <name val="Arial"/>
      <family val="2"/>
    </font>
    <font>
      <sz val="10"/>
      <name val="Arial"/>
      <family val="2"/>
    </font>
  </fonts>
  <fills count="3">
    <fill>
      <patternFill patternType="none"/>
    </fill>
    <fill>
      <patternFill patternType="gray125"/>
    </fill>
    <fill>
      <patternFill patternType="solid">
        <fgColor indexed="65"/>
        <bgColor indexed="64"/>
      </patternFill>
    </fill>
  </fills>
  <borders count="2">
    <border>
      <left/>
      <right/>
      <top/>
      <bottom/>
      <diagonal/>
    </border>
    <border>
      <left/>
      <right/>
      <top/>
      <bottom style="thin">
        <color indexed="64"/>
      </bottom>
      <diagonal/>
    </border>
  </borders>
  <cellStyleXfs count="3">
    <xf numFmtId="0" fontId="0" fillId="0" borderId="0"/>
    <xf numFmtId="9" fontId="6" fillId="0" borderId="0" applyFont="0" applyFill="0" applyBorder="0" applyAlignment="0" applyProtection="0"/>
    <xf numFmtId="164" fontId="7" fillId="0" borderId="0" applyFont="0" applyFill="0" applyBorder="0" applyAlignment="0" applyProtection="0"/>
  </cellStyleXfs>
  <cellXfs count="24">
    <xf numFmtId="0" fontId="0" fillId="0" borderId="0" xfId="0"/>
    <xf numFmtId="0" fontId="0" fillId="0" borderId="0" xfId="0" quotePrefix="1"/>
    <xf numFmtId="4" fontId="0" fillId="0" borderId="0" xfId="0" applyNumberFormat="1"/>
    <xf numFmtId="0" fontId="0" fillId="0" borderId="0" xfId="0" applyAlignment="1">
      <alignment horizontal="centerContinuous"/>
    </xf>
    <xf numFmtId="0" fontId="0" fillId="0" borderId="0" xfId="0" applyAlignment="1">
      <alignment horizontal="center"/>
    </xf>
    <xf numFmtId="0" fontId="3" fillId="0" borderId="0" xfId="0" applyFont="1"/>
    <xf numFmtId="0" fontId="0" fillId="0" borderId="1" xfId="0" applyBorder="1" applyAlignment="1">
      <alignment horizontal="centerContinuous"/>
    </xf>
    <xf numFmtId="0" fontId="3" fillId="0" borderId="0" xfId="0" applyFont="1" applyAlignment="1">
      <alignment horizontal="center"/>
    </xf>
    <xf numFmtId="0" fontId="1" fillId="0" borderId="0" xfId="0" quotePrefix="1" applyFont="1" applyAlignment="1">
      <alignment horizontal="center"/>
    </xf>
    <xf numFmtId="0" fontId="1" fillId="0" borderId="0" xfId="0" applyFont="1" applyAlignment="1">
      <alignment horizontal="center"/>
    </xf>
    <xf numFmtId="0" fontId="0" fillId="2" borderId="0" xfId="0" applyFill="1"/>
    <xf numFmtId="165" fontId="0" fillId="0" borderId="0" xfId="1" applyNumberFormat="1" applyFont="1"/>
    <xf numFmtId="166" fontId="0" fillId="0" borderId="0" xfId="0" applyNumberFormat="1"/>
    <xf numFmtId="10" fontId="0" fillId="0" borderId="0" xfId="1" applyNumberFormat="1" applyFont="1"/>
    <xf numFmtId="165" fontId="0" fillId="0" borderId="0" xfId="0" applyNumberFormat="1"/>
    <xf numFmtId="0" fontId="1" fillId="0" borderId="0" xfId="0" applyFont="1"/>
    <xf numFmtId="164" fontId="0" fillId="0" borderId="0" xfId="2" applyFont="1" applyAlignment="1"/>
    <xf numFmtId="164" fontId="0" fillId="0" borderId="0" xfId="2" applyFont="1"/>
    <xf numFmtId="167" fontId="0" fillId="0" borderId="0" xfId="2" applyNumberFormat="1" applyFont="1"/>
    <xf numFmtId="168" fontId="0" fillId="0" borderId="0" xfId="0" applyNumberFormat="1"/>
    <xf numFmtId="167" fontId="1" fillId="0" borderId="0" xfId="2" applyNumberFormat="1" applyFont="1"/>
    <xf numFmtId="168" fontId="1" fillId="0" borderId="0" xfId="0" applyNumberFormat="1" applyFont="1"/>
    <xf numFmtId="10" fontId="1" fillId="0" borderId="0" xfId="1" applyNumberFormat="1" applyFont="1"/>
    <xf numFmtId="166" fontId="1" fillId="0" borderId="0" xfId="0" applyNumberFormat="1" applyFont="1"/>
  </cellXfs>
  <cellStyles count="3">
    <cellStyle name="Comma" xfId="2" builtinId="3"/>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y%20Documents/math289class1examp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 employers"/>
      <sheetName val="15 and 20 Year Yields"/>
      <sheetName val="Int Rt Scenario 1"/>
      <sheetName val="Balance Sheet"/>
      <sheetName val="Stock Example"/>
      <sheetName val="Retirement Proj"/>
      <sheetName val="treasury rates"/>
      <sheetName val="liquidity analysis"/>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
  <sheetViews>
    <sheetView tabSelected="1" workbookViewId="0">
      <selection activeCell="M2" sqref="M2"/>
    </sheetView>
  </sheetViews>
  <sheetFormatPr defaultColWidth="9.1328125" defaultRowHeight="12.75" x14ac:dyDescent="0.35"/>
  <cols>
    <col min="1" max="1" width="3" style="10" customWidth="1"/>
    <col min="2" max="11" width="9.1328125" style="10"/>
    <col min="12" max="12" width="12.265625" style="10" customWidth="1"/>
    <col min="13" max="16384" width="9.1328125" style="10"/>
  </cols>
  <sheetData>
    <row r="2" spans="1:1" x14ac:dyDescent="0.35"/>
  </sheetData>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213"/>
  <sheetViews>
    <sheetView workbookViewId="0">
      <selection activeCell="G46" sqref="G46"/>
    </sheetView>
  </sheetViews>
  <sheetFormatPr defaultRowHeight="12.75" x14ac:dyDescent="0.35"/>
  <cols>
    <col min="1" max="1" width="8" bestFit="1" customWidth="1"/>
    <col min="2" max="2" width="10" bestFit="1" customWidth="1"/>
    <col min="3" max="3" width="11.265625" bestFit="1" customWidth="1"/>
    <col min="4" max="4" width="6.86328125" bestFit="1" customWidth="1"/>
    <col min="5" max="5" width="8.86328125" bestFit="1" customWidth="1"/>
    <col min="6" max="6" width="12.3984375" bestFit="1" customWidth="1"/>
    <col min="7" max="7" width="17.265625" bestFit="1" customWidth="1"/>
    <col min="8" max="8" width="14.86328125" bestFit="1" customWidth="1"/>
    <col min="9" max="9" width="14.59765625" bestFit="1" customWidth="1"/>
    <col min="10" max="10" width="10" bestFit="1" customWidth="1"/>
    <col min="11" max="11" width="14.86328125" style="17" bestFit="1" customWidth="1"/>
    <col min="12" max="12" width="14.59765625" style="17" bestFit="1" customWidth="1"/>
    <col min="13" max="13" width="10" bestFit="1" customWidth="1"/>
    <col min="14" max="15" width="10" customWidth="1"/>
  </cols>
  <sheetData>
    <row r="1" spans="1:24" ht="22.5" customHeight="1" x14ac:dyDescent="0.35">
      <c r="A1" t="s">
        <v>98</v>
      </c>
      <c r="B1" t="s">
        <v>99</v>
      </c>
      <c r="C1" t="s">
        <v>100</v>
      </c>
      <c r="D1" t="s">
        <v>0</v>
      </c>
      <c r="E1" t="s">
        <v>1</v>
      </c>
      <c r="F1" t="s">
        <v>2</v>
      </c>
      <c r="G1" t="s">
        <v>3</v>
      </c>
      <c r="H1" t="s">
        <v>4</v>
      </c>
      <c r="I1" t="s">
        <v>60</v>
      </c>
      <c r="J1" t="s">
        <v>61</v>
      </c>
      <c r="K1" s="16"/>
      <c r="L1" s="16"/>
    </row>
    <row r="2" spans="1:24" x14ac:dyDescent="0.35">
      <c r="A2" t="str">
        <f>D2&amp;RIGHT(F2,1)</f>
        <v>ALN</v>
      </c>
      <c r="B2" t="str">
        <f>D2&amp;F2</f>
        <v>AL500N</v>
      </c>
      <c r="C2" t="str">
        <f>D2&amp;F2&amp;E2</f>
        <v>AL500N0</v>
      </c>
      <c r="D2" t="s">
        <v>5</v>
      </c>
      <c r="E2">
        <v>0</v>
      </c>
      <c r="F2" s="1" t="s">
        <v>63</v>
      </c>
      <c r="G2">
        <v>122400</v>
      </c>
      <c r="H2">
        <v>5400</v>
      </c>
      <c r="I2">
        <v>43103600</v>
      </c>
      <c r="J2">
        <v>73117700</v>
      </c>
      <c r="K2"/>
      <c r="L2"/>
      <c r="P2" s="1"/>
    </row>
    <row r="3" spans="1:24" x14ac:dyDescent="0.35">
      <c r="A3" t="str">
        <f t="shared" ref="A3:A66" si="0">D3&amp;RIGHT(F3,1)</f>
        <v>AKN</v>
      </c>
      <c r="B3" t="str">
        <f t="shared" ref="B3:B66" si="1">D3&amp;F3</f>
        <v>AK500N</v>
      </c>
      <c r="C3" t="str">
        <f t="shared" ref="C3:C66" si="2">D3&amp;F3&amp;E3</f>
        <v>AK500N0</v>
      </c>
      <c r="D3" t="s">
        <v>7</v>
      </c>
      <c r="E3">
        <v>0</v>
      </c>
      <c r="F3" s="1" t="s">
        <v>63</v>
      </c>
      <c r="G3">
        <v>11400</v>
      </c>
      <c r="H3">
        <v>700</v>
      </c>
      <c r="I3">
        <v>5632700</v>
      </c>
      <c r="J3">
        <v>10132300</v>
      </c>
      <c r="K3"/>
      <c r="L3"/>
      <c r="P3" s="1"/>
    </row>
    <row r="4" spans="1:24" x14ac:dyDescent="0.35">
      <c r="A4" t="str">
        <f t="shared" si="0"/>
        <v>AZN</v>
      </c>
      <c r="B4" t="str">
        <f t="shared" si="1"/>
        <v>AZ500N</v>
      </c>
      <c r="C4" t="str">
        <f t="shared" si="2"/>
        <v>AZ500N0</v>
      </c>
      <c r="D4" t="s">
        <v>8</v>
      </c>
      <c r="E4">
        <v>0</v>
      </c>
      <c r="F4" s="1" t="s">
        <v>63</v>
      </c>
      <c r="G4">
        <v>92000</v>
      </c>
      <c r="H4">
        <v>4700</v>
      </c>
      <c r="I4">
        <v>37928200</v>
      </c>
      <c r="J4">
        <v>65612400</v>
      </c>
      <c r="K4"/>
      <c r="L4"/>
      <c r="P4" s="1"/>
    </row>
    <row r="5" spans="1:24" x14ac:dyDescent="0.35">
      <c r="A5" t="str">
        <f t="shared" si="0"/>
        <v>ARN</v>
      </c>
      <c r="B5" t="str">
        <f t="shared" si="1"/>
        <v>AR500N</v>
      </c>
      <c r="C5" t="str">
        <f t="shared" si="2"/>
        <v>AR500N0</v>
      </c>
      <c r="D5" t="s">
        <v>9</v>
      </c>
      <c r="E5">
        <v>0</v>
      </c>
      <c r="F5" s="1" t="s">
        <v>63</v>
      </c>
      <c r="G5">
        <v>41000</v>
      </c>
      <c r="H5">
        <v>2000</v>
      </c>
      <c r="I5">
        <v>14995900</v>
      </c>
      <c r="J5">
        <v>23753200</v>
      </c>
      <c r="K5"/>
      <c r="L5"/>
      <c r="P5" s="1"/>
    </row>
    <row r="6" spans="1:24" x14ac:dyDescent="0.35">
      <c r="A6" t="str">
        <f t="shared" si="0"/>
        <v>CAN</v>
      </c>
      <c r="B6" t="str">
        <f t="shared" si="1"/>
        <v>CA500N</v>
      </c>
      <c r="C6" t="str">
        <f t="shared" si="2"/>
        <v>CA500N1</v>
      </c>
      <c r="D6" t="s">
        <v>10</v>
      </c>
      <c r="E6">
        <v>1</v>
      </c>
      <c r="F6" s="1" t="s">
        <v>63</v>
      </c>
      <c r="G6">
        <v>302400</v>
      </c>
      <c r="H6">
        <v>13700</v>
      </c>
      <c r="I6">
        <v>108215900</v>
      </c>
      <c r="J6">
        <v>188687500</v>
      </c>
      <c r="K6"/>
      <c r="L6"/>
      <c r="P6" s="1"/>
      <c r="X6" s="1"/>
    </row>
    <row r="7" spans="1:24" x14ac:dyDescent="0.35">
      <c r="A7" t="str">
        <f t="shared" si="0"/>
        <v>CAN</v>
      </c>
      <c r="B7" t="str">
        <f t="shared" si="1"/>
        <v>CA500N</v>
      </c>
      <c r="C7" t="str">
        <f t="shared" si="2"/>
        <v>CA500N2</v>
      </c>
      <c r="D7" t="s">
        <v>10</v>
      </c>
      <c r="E7">
        <v>2</v>
      </c>
      <c r="F7" s="1" t="s">
        <v>63</v>
      </c>
      <c r="G7">
        <v>369700</v>
      </c>
      <c r="H7">
        <v>16800</v>
      </c>
      <c r="I7">
        <v>143593600</v>
      </c>
      <c r="J7">
        <v>232150200</v>
      </c>
      <c r="K7"/>
      <c r="L7"/>
      <c r="P7" s="1"/>
      <c r="X7" s="1"/>
    </row>
    <row r="8" spans="1:24" x14ac:dyDescent="0.35">
      <c r="A8" t="str">
        <f t="shared" si="0"/>
        <v>CON</v>
      </c>
      <c r="B8" t="str">
        <f t="shared" si="1"/>
        <v>CO500N</v>
      </c>
      <c r="C8" t="str">
        <f t="shared" si="2"/>
        <v>CO500N0</v>
      </c>
      <c r="D8" t="s">
        <v>11</v>
      </c>
      <c r="E8">
        <v>0</v>
      </c>
      <c r="F8" s="1" t="s">
        <v>63</v>
      </c>
      <c r="G8">
        <v>100700</v>
      </c>
      <c r="H8">
        <v>5800</v>
      </c>
      <c r="I8">
        <v>47591200</v>
      </c>
      <c r="J8">
        <v>78294500</v>
      </c>
      <c r="K8"/>
      <c r="L8"/>
      <c r="P8" s="1"/>
    </row>
    <row r="9" spans="1:24" x14ac:dyDescent="0.35">
      <c r="A9" t="str">
        <f t="shared" si="0"/>
        <v>CTN</v>
      </c>
      <c r="B9" t="str">
        <f t="shared" si="1"/>
        <v>CT500N</v>
      </c>
      <c r="C9" t="str">
        <f t="shared" si="2"/>
        <v>CT500N0</v>
      </c>
      <c r="D9" t="s">
        <v>12</v>
      </c>
      <c r="E9">
        <v>0</v>
      </c>
      <c r="F9" s="1" t="s">
        <v>63</v>
      </c>
      <c r="G9">
        <v>81500</v>
      </c>
      <c r="H9">
        <v>3700</v>
      </c>
      <c r="I9">
        <v>30747600</v>
      </c>
      <c r="J9">
        <v>52696600</v>
      </c>
      <c r="K9"/>
      <c r="L9"/>
      <c r="P9" s="1"/>
    </row>
    <row r="10" spans="1:24" x14ac:dyDescent="0.35">
      <c r="A10" t="str">
        <f t="shared" si="0"/>
        <v>DEN</v>
      </c>
      <c r="B10" t="str">
        <f t="shared" si="1"/>
        <v>DE500N</v>
      </c>
      <c r="C10" t="str">
        <f t="shared" si="2"/>
        <v>DE500N0</v>
      </c>
      <c r="D10" t="s">
        <v>13</v>
      </c>
      <c r="E10">
        <v>0</v>
      </c>
      <c r="F10" s="1" t="s">
        <v>63</v>
      </c>
      <c r="G10">
        <v>20700</v>
      </c>
      <c r="H10">
        <v>1100</v>
      </c>
      <c r="I10">
        <v>8877600</v>
      </c>
      <c r="J10">
        <v>14288600</v>
      </c>
      <c r="K10"/>
      <c r="L10"/>
      <c r="P10" s="1"/>
    </row>
    <row r="11" spans="1:24" x14ac:dyDescent="0.35">
      <c r="A11" t="str">
        <f t="shared" si="0"/>
        <v>DCN</v>
      </c>
      <c r="B11" t="str">
        <f t="shared" si="1"/>
        <v>DC500N</v>
      </c>
      <c r="C11" t="str">
        <f t="shared" si="2"/>
        <v>DC500N0</v>
      </c>
      <c r="D11" t="s">
        <v>14</v>
      </c>
      <c r="E11">
        <v>0</v>
      </c>
      <c r="F11" s="1" t="s">
        <v>63</v>
      </c>
      <c r="G11">
        <v>11500</v>
      </c>
      <c r="H11">
        <v>600</v>
      </c>
      <c r="I11">
        <v>4967300</v>
      </c>
      <c r="J11">
        <v>8298600</v>
      </c>
      <c r="K11"/>
      <c r="L11"/>
      <c r="P11" s="1"/>
    </row>
    <row r="12" spans="1:24" x14ac:dyDescent="0.35">
      <c r="A12" t="str">
        <f t="shared" si="0"/>
        <v>FLN</v>
      </c>
      <c r="B12" t="str">
        <f t="shared" si="1"/>
        <v>FL500N</v>
      </c>
      <c r="C12" t="str">
        <f t="shared" si="2"/>
        <v>FL500N0</v>
      </c>
      <c r="D12" t="s">
        <v>15</v>
      </c>
      <c r="E12">
        <v>0</v>
      </c>
      <c r="F12" s="1" t="s">
        <v>63</v>
      </c>
      <c r="G12">
        <v>220100</v>
      </c>
      <c r="H12">
        <v>9300</v>
      </c>
      <c r="I12">
        <v>70358900</v>
      </c>
      <c r="J12">
        <v>108936500</v>
      </c>
      <c r="K12"/>
      <c r="L12"/>
      <c r="P12" s="1"/>
    </row>
    <row r="13" spans="1:24" x14ac:dyDescent="0.35">
      <c r="A13" t="str">
        <f t="shared" si="0"/>
        <v>GAN</v>
      </c>
      <c r="B13" t="str">
        <f t="shared" si="1"/>
        <v>GA500N</v>
      </c>
      <c r="C13" t="str">
        <f t="shared" si="2"/>
        <v>GA500N0</v>
      </c>
      <c r="D13" t="s">
        <v>16</v>
      </c>
      <c r="E13">
        <v>0</v>
      </c>
      <c r="F13" s="1" t="s">
        <v>63</v>
      </c>
      <c r="G13">
        <v>178900</v>
      </c>
      <c r="H13">
        <v>8800</v>
      </c>
      <c r="I13">
        <v>61342000</v>
      </c>
      <c r="J13">
        <v>108635800</v>
      </c>
      <c r="K13"/>
      <c r="L13"/>
      <c r="P13" s="1"/>
    </row>
    <row r="14" spans="1:24" x14ac:dyDescent="0.35">
      <c r="A14" t="str">
        <f t="shared" si="0"/>
        <v>HIN</v>
      </c>
      <c r="B14" t="str">
        <f t="shared" si="1"/>
        <v>HI500N</v>
      </c>
      <c r="C14" t="str">
        <f t="shared" si="2"/>
        <v>HI500N0</v>
      </c>
      <c r="D14" t="s">
        <v>17</v>
      </c>
      <c r="E14">
        <v>0</v>
      </c>
      <c r="F14" s="1" t="s">
        <v>63</v>
      </c>
      <c r="G14">
        <v>12400</v>
      </c>
      <c r="H14">
        <v>700</v>
      </c>
      <c r="I14">
        <v>5378100</v>
      </c>
      <c r="J14">
        <v>9374100</v>
      </c>
      <c r="K14"/>
      <c r="L14"/>
      <c r="P14" s="1"/>
    </row>
    <row r="15" spans="1:24" x14ac:dyDescent="0.35">
      <c r="A15" t="str">
        <f t="shared" si="0"/>
        <v>IDN</v>
      </c>
      <c r="B15" t="str">
        <f t="shared" si="1"/>
        <v>ID500N</v>
      </c>
      <c r="C15" t="str">
        <f t="shared" si="2"/>
        <v>ID500N0</v>
      </c>
      <c r="D15" t="s">
        <v>18</v>
      </c>
      <c r="E15">
        <v>0</v>
      </c>
      <c r="F15" s="1" t="s">
        <v>63</v>
      </c>
      <c r="G15">
        <v>24400</v>
      </c>
      <c r="H15">
        <v>1200</v>
      </c>
      <c r="I15">
        <v>10131200</v>
      </c>
      <c r="J15">
        <v>17315700</v>
      </c>
      <c r="K15"/>
      <c r="L15"/>
      <c r="P15" s="1"/>
    </row>
    <row r="16" spans="1:24" x14ac:dyDescent="0.35">
      <c r="A16" t="str">
        <f t="shared" si="0"/>
        <v>ILN</v>
      </c>
      <c r="B16" t="str">
        <f t="shared" si="1"/>
        <v>IL500N</v>
      </c>
      <c r="C16" t="str">
        <f t="shared" si="2"/>
        <v>IL500N0</v>
      </c>
      <c r="D16" t="s">
        <v>19</v>
      </c>
      <c r="E16">
        <v>0</v>
      </c>
      <c r="F16" s="1" t="s">
        <v>63</v>
      </c>
      <c r="G16">
        <v>147600</v>
      </c>
      <c r="H16">
        <v>7100</v>
      </c>
      <c r="I16">
        <v>55154600</v>
      </c>
      <c r="J16">
        <v>96125300</v>
      </c>
      <c r="K16"/>
      <c r="L16"/>
      <c r="P16" s="1"/>
    </row>
    <row r="17" spans="1:16" x14ac:dyDescent="0.35">
      <c r="A17" t="str">
        <f t="shared" si="0"/>
        <v>INN</v>
      </c>
      <c r="B17" t="str">
        <f t="shared" si="1"/>
        <v>IN500N</v>
      </c>
      <c r="C17" t="str">
        <f t="shared" si="2"/>
        <v>IN500N0</v>
      </c>
      <c r="D17" t="s">
        <v>20</v>
      </c>
      <c r="E17">
        <v>0</v>
      </c>
      <c r="F17" s="1" t="s">
        <v>63</v>
      </c>
      <c r="G17">
        <v>133300</v>
      </c>
      <c r="H17">
        <v>3700</v>
      </c>
      <c r="I17">
        <v>28160400</v>
      </c>
      <c r="J17">
        <v>46831700</v>
      </c>
      <c r="K17"/>
      <c r="L17"/>
      <c r="P17" s="1"/>
    </row>
    <row r="18" spans="1:16" x14ac:dyDescent="0.35">
      <c r="A18" t="str">
        <f t="shared" si="0"/>
        <v>IAN</v>
      </c>
      <c r="B18" t="str">
        <f t="shared" si="1"/>
        <v>IA500N</v>
      </c>
      <c r="C18" t="str">
        <f t="shared" si="2"/>
        <v>IA500N0</v>
      </c>
      <c r="D18" t="s">
        <v>21</v>
      </c>
      <c r="E18">
        <v>0</v>
      </c>
      <c r="F18" s="1" t="s">
        <v>63</v>
      </c>
      <c r="G18">
        <v>28200</v>
      </c>
      <c r="H18">
        <v>1300</v>
      </c>
      <c r="I18">
        <v>10075900</v>
      </c>
      <c r="J18">
        <v>16378400</v>
      </c>
      <c r="K18"/>
      <c r="L18"/>
      <c r="P18" s="1"/>
    </row>
    <row r="19" spans="1:16" x14ac:dyDescent="0.35">
      <c r="A19" t="str">
        <f t="shared" si="0"/>
        <v>KSN</v>
      </c>
      <c r="B19" t="str">
        <f t="shared" si="1"/>
        <v>KS500N</v>
      </c>
      <c r="C19" t="str">
        <f t="shared" si="2"/>
        <v>KS500N0</v>
      </c>
      <c r="D19" t="s">
        <v>22</v>
      </c>
      <c r="E19">
        <v>0</v>
      </c>
      <c r="F19" s="1" t="s">
        <v>63</v>
      </c>
      <c r="G19">
        <v>43200</v>
      </c>
      <c r="H19">
        <v>2600</v>
      </c>
      <c r="I19">
        <v>19299300</v>
      </c>
      <c r="J19">
        <v>30477700</v>
      </c>
      <c r="K19"/>
      <c r="L19"/>
      <c r="P19" s="1"/>
    </row>
    <row r="20" spans="1:16" x14ac:dyDescent="0.35">
      <c r="A20" t="str">
        <f t="shared" si="0"/>
        <v>KYN</v>
      </c>
      <c r="B20" t="str">
        <f t="shared" si="1"/>
        <v>KY500N</v>
      </c>
      <c r="C20" t="str">
        <f t="shared" si="2"/>
        <v>KY500N0</v>
      </c>
      <c r="D20" t="s">
        <v>23</v>
      </c>
      <c r="E20">
        <v>0</v>
      </c>
      <c r="F20" s="1" t="s">
        <v>63</v>
      </c>
      <c r="G20">
        <v>65200</v>
      </c>
      <c r="H20">
        <v>4000</v>
      </c>
      <c r="I20">
        <v>32082900</v>
      </c>
      <c r="J20">
        <v>52508700</v>
      </c>
      <c r="K20"/>
      <c r="L20"/>
      <c r="P20" s="1"/>
    </row>
    <row r="21" spans="1:16" x14ac:dyDescent="0.35">
      <c r="A21" t="str">
        <f t="shared" si="0"/>
        <v>LAN</v>
      </c>
      <c r="B21" t="str">
        <f t="shared" si="1"/>
        <v>LA500N</v>
      </c>
      <c r="C21" t="str">
        <f t="shared" si="2"/>
        <v>LA500N0</v>
      </c>
      <c r="D21" t="s">
        <v>24</v>
      </c>
      <c r="E21">
        <v>0</v>
      </c>
      <c r="F21" s="1" t="s">
        <v>63</v>
      </c>
      <c r="G21">
        <v>74500</v>
      </c>
      <c r="H21">
        <v>2100</v>
      </c>
      <c r="I21">
        <v>17208600</v>
      </c>
      <c r="J21">
        <v>27281700</v>
      </c>
      <c r="K21"/>
      <c r="L21"/>
      <c r="P21" s="1"/>
    </row>
    <row r="22" spans="1:16" x14ac:dyDescent="0.35">
      <c r="A22" t="str">
        <f t="shared" si="0"/>
        <v>MEN</v>
      </c>
      <c r="B22" t="str">
        <f t="shared" si="1"/>
        <v>ME500N</v>
      </c>
      <c r="C22" t="str">
        <f t="shared" si="2"/>
        <v>ME500N0</v>
      </c>
      <c r="D22" t="s">
        <v>25</v>
      </c>
      <c r="E22">
        <v>0</v>
      </c>
      <c r="F22" s="1" t="s">
        <v>63</v>
      </c>
      <c r="G22">
        <v>27500</v>
      </c>
      <c r="H22">
        <v>1400</v>
      </c>
      <c r="I22">
        <v>11149400</v>
      </c>
      <c r="J22">
        <v>18714500</v>
      </c>
      <c r="K22"/>
      <c r="L22"/>
      <c r="P22" s="1"/>
    </row>
    <row r="23" spans="1:16" x14ac:dyDescent="0.35">
      <c r="A23" t="str">
        <f t="shared" si="0"/>
        <v>MDN</v>
      </c>
      <c r="B23" t="str">
        <f t="shared" si="1"/>
        <v>MD500N</v>
      </c>
      <c r="C23" t="str">
        <f t="shared" si="2"/>
        <v>MD500N0</v>
      </c>
      <c r="D23" t="s">
        <v>26</v>
      </c>
      <c r="E23">
        <v>0</v>
      </c>
      <c r="F23" s="1" t="s">
        <v>63</v>
      </c>
      <c r="G23">
        <v>109100</v>
      </c>
      <c r="H23">
        <v>5400</v>
      </c>
      <c r="I23">
        <v>42744100</v>
      </c>
      <c r="J23">
        <v>65809400</v>
      </c>
      <c r="K23"/>
      <c r="L23"/>
      <c r="P23" s="1"/>
    </row>
    <row r="24" spans="1:16" x14ac:dyDescent="0.35">
      <c r="A24" t="str">
        <f t="shared" si="0"/>
        <v>MAN</v>
      </c>
      <c r="B24" t="str">
        <f t="shared" si="1"/>
        <v>MA500N</v>
      </c>
      <c r="C24" t="str">
        <f t="shared" si="2"/>
        <v>MA500N0</v>
      </c>
      <c r="D24" t="s">
        <v>27</v>
      </c>
      <c r="E24">
        <v>0</v>
      </c>
      <c r="F24" s="1" t="s">
        <v>63</v>
      </c>
      <c r="G24">
        <v>139900</v>
      </c>
      <c r="H24">
        <v>6700</v>
      </c>
      <c r="I24">
        <v>55642500</v>
      </c>
      <c r="J24">
        <v>97136300</v>
      </c>
      <c r="K24"/>
      <c r="L24"/>
      <c r="P24" s="1"/>
    </row>
    <row r="25" spans="1:16" x14ac:dyDescent="0.35">
      <c r="A25" t="str">
        <f t="shared" si="0"/>
        <v>MIN</v>
      </c>
      <c r="B25" t="str">
        <f t="shared" si="1"/>
        <v>MI500N</v>
      </c>
      <c r="C25" t="str">
        <f t="shared" si="2"/>
        <v>MI500N0</v>
      </c>
      <c r="D25" t="s">
        <v>28</v>
      </c>
      <c r="E25">
        <v>0</v>
      </c>
      <c r="F25" s="1" t="s">
        <v>63</v>
      </c>
      <c r="G25">
        <v>121100</v>
      </c>
      <c r="H25">
        <v>7400</v>
      </c>
      <c r="I25">
        <v>55802500</v>
      </c>
      <c r="J25">
        <v>100545800</v>
      </c>
      <c r="K25"/>
      <c r="L25"/>
      <c r="P25" s="1"/>
    </row>
    <row r="26" spans="1:16" x14ac:dyDescent="0.35">
      <c r="A26" t="str">
        <f t="shared" si="0"/>
        <v>MNN</v>
      </c>
      <c r="B26" t="str">
        <f t="shared" si="1"/>
        <v>MN500N</v>
      </c>
      <c r="C26" t="str">
        <f t="shared" si="2"/>
        <v>MN500N0</v>
      </c>
      <c r="D26" t="s">
        <v>29</v>
      </c>
      <c r="E26">
        <v>0</v>
      </c>
      <c r="F26" s="1" t="s">
        <v>63</v>
      </c>
      <c r="G26">
        <v>84100</v>
      </c>
      <c r="H26">
        <v>5500</v>
      </c>
      <c r="I26">
        <v>45489100</v>
      </c>
      <c r="J26">
        <v>72212500</v>
      </c>
      <c r="K26"/>
      <c r="L26"/>
      <c r="P26" s="1"/>
    </row>
    <row r="27" spans="1:16" x14ac:dyDescent="0.35">
      <c r="A27" t="str">
        <f t="shared" si="0"/>
        <v>MSN</v>
      </c>
      <c r="B27" t="str">
        <f t="shared" si="1"/>
        <v>MS500N</v>
      </c>
      <c r="C27" t="str">
        <f t="shared" si="2"/>
        <v>MS500N0</v>
      </c>
      <c r="D27" t="s">
        <v>30</v>
      </c>
      <c r="E27">
        <v>0</v>
      </c>
      <c r="F27" s="1" t="s">
        <v>63</v>
      </c>
      <c r="G27">
        <v>55400</v>
      </c>
      <c r="H27">
        <v>3400</v>
      </c>
      <c r="I27">
        <v>23870800</v>
      </c>
      <c r="J27">
        <v>38986500</v>
      </c>
      <c r="K27"/>
      <c r="L27"/>
      <c r="P27" s="1"/>
    </row>
    <row r="28" spans="1:16" x14ac:dyDescent="0.35">
      <c r="A28" t="str">
        <f t="shared" si="0"/>
        <v>MON</v>
      </c>
      <c r="B28" t="str">
        <f t="shared" si="1"/>
        <v>MO500N</v>
      </c>
      <c r="C28" t="str">
        <f t="shared" si="2"/>
        <v>MO500N0</v>
      </c>
      <c r="D28" t="s">
        <v>31</v>
      </c>
      <c r="E28">
        <v>0</v>
      </c>
      <c r="F28" s="1" t="s">
        <v>63</v>
      </c>
      <c r="G28">
        <v>86900</v>
      </c>
      <c r="H28">
        <v>4500</v>
      </c>
      <c r="I28">
        <v>34629100</v>
      </c>
      <c r="J28">
        <v>58167200</v>
      </c>
      <c r="K28"/>
      <c r="L28"/>
      <c r="P28" s="1"/>
    </row>
    <row r="29" spans="1:16" x14ac:dyDescent="0.35">
      <c r="A29" t="str">
        <f t="shared" si="0"/>
        <v>MTN</v>
      </c>
      <c r="B29" t="str">
        <f t="shared" si="1"/>
        <v>MT500N</v>
      </c>
      <c r="C29" t="str">
        <f t="shared" si="2"/>
        <v>MT500N0</v>
      </c>
      <c r="D29" t="s">
        <v>32</v>
      </c>
      <c r="E29">
        <v>0</v>
      </c>
      <c r="F29" s="1" t="s">
        <v>63</v>
      </c>
      <c r="G29">
        <v>18700</v>
      </c>
      <c r="H29">
        <v>700</v>
      </c>
      <c r="I29">
        <v>5511300</v>
      </c>
      <c r="J29">
        <v>8861900</v>
      </c>
      <c r="K29"/>
      <c r="L29"/>
      <c r="P29" s="1"/>
    </row>
    <row r="30" spans="1:16" x14ac:dyDescent="0.35">
      <c r="A30" t="str">
        <f t="shared" si="0"/>
        <v>NEN</v>
      </c>
      <c r="B30" t="str">
        <f t="shared" si="1"/>
        <v>NE500N</v>
      </c>
      <c r="C30" t="str">
        <f t="shared" si="2"/>
        <v>NE500N0</v>
      </c>
      <c r="D30" t="s">
        <v>33</v>
      </c>
      <c r="E30">
        <v>0</v>
      </c>
      <c r="F30" s="1" t="s">
        <v>63</v>
      </c>
      <c r="G30">
        <v>32400</v>
      </c>
      <c r="H30">
        <v>2100</v>
      </c>
      <c r="I30">
        <v>16118700</v>
      </c>
      <c r="J30">
        <v>24349800</v>
      </c>
      <c r="K30"/>
      <c r="L30"/>
      <c r="P30" s="1"/>
    </row>
    <row r="31" spans="1:16" x14ac:dyDescent="0.35">
      <c r="A31" t="str">
        <f t="shared" si="0"/>
        <v>NVN</v>
      </c>
      <c r="B31" t="str">
        <f t="shared" si="1"/>
        <v>NV500N</v>
      </c>
      <c r="C31" t="str">
        <f t="shared" si="2"/>
        <v>NV500N0</v>
      </c>
      <c r="D31" t="s">
        <v>34</v>
      </c>
      <c r="E31">
        <v>0</v>
      </c>
      <c r="F31" s="1" t="s">
        <v>63</v>
      </c>
      <c r="G31">
        <v>38500</v>
      </c>
      <c r="H31">
        <v>1800</v>
      </c>
      <c r="I31">
        <v>14478400</v>
      </c>
      <c r="J31">
        <v>22301300</v>
      </c>
      <c r="K31"/>
      <c r="L31"/>
      <c r="P31" s="1"/>
    </row>
    <row r="32" spans="1:16" x14ac:dyDescent="0.35">
      <c r="A32" t="str">
        <f t="shared" si="0"/>
        <v>NHN</v>
      </c>
      <c r="B32" t="str">
        <f t="shared" si="1"/>
        <v>NH500N</v>
      </c>
      <c r="C32" t="str">
        <f t="shared" si="2"/>
        <v>NH500N0</v>
      </c>
      <c r="D32" t="s">
        <v>35</v>
      </c>
      <c r="E32">
        <v>0</v>
      </c>
      <c r="F32" s="1" t="s">
        <v>63</v>
      </c>
      <c r="G32">
        <v>24200</v>
      </c>
      <c r="H32">
        <v>1100</v>
      </c>
      <c r="I32">
        <v>8753600</v>
      </c>
      <c r="J32">
        <v>14177300</v>
      </c>
      <c r="K32"/>
      <c r="L32"/>
      <c r="P32" s="1"/>
    </row>
    <row r="33" spans="1:24" x14ac:dyDescent="0.35">
      <c r="A33" t="str">
        <f t="shared" si="0"/>
        <v>NJN</v>
      </c>
      <c r="B33" t="str">
        <f t="shared" si="1"/>
        <v>NJ500N</v>
      </c>
      <c r="C33" t="str">
        <f t="shared" si="2"/>
        <v>NJ500N0</v>
      </c>
      <c r="D33" t="s">
        <v>36</v>
      </c>
      <c r="E33">
        <v>0</v>
      </c>
      <c r="F33" s="1" t="s">
        <v>63</v>
      </c>
      <c r="G33">
        <v>137300</v>
      </c>
      <c r="H33">
        <v>4700</v>
      </c>
      <c r="I33">
        <v>38453900</v>
      </c>
      <c r="J33">
        <v>62766800</v>
      </c>
      <c r="K33"/>
      <c r="L33"/>
      <c r="P33" s="1"/>
    </row>
    <row r="34" spans="1:24" x14ac:dyDescent="0.35">
      <c r="A34" t="str">
        <f t="shared" si="0"/>
        <v>NMN</v>
      </c>
      <c r="B34" t="str">
        <f t="shared" si="1"/>
        <v>NM500N</v>
      </c>
      <c r="C34" t="str">
        <f t="shared" si="2"/>
        <v>NM500N0</v>
      </c>
      <c r="D34" t="s">
        <v>37</v>
      </c>
      <c r="E34">
        <v>0</v>
      </c>
      <c r="F34" s="1" t="s">
        <v>63</v>
      </c>
      <c r="G34">
        <v>45000</v>
      </c>
      <c r="H34">
        <v>2400</v>
      </c>
      <c r="I34">
        <v>18281000</v>
      </c>
      <c r="J34">
        <v>30040900</v>
      </c>
      <c r="K34"/>
      <c r="L34"/>
      <c r="P34" s="1"/>
    </row>
    <row r="35" spans="1:24" x14ac:dyDescent="0.35">
      <c r="A35" t="str">
        <f t="shared" si="0"/>
        <v>NYN</v>
      </c>
      <c r="B35" t="str">
        <f t="shared" si="1"/>
        <v>NY500N</v>
      </c>
      <c r="C35" t="str">
        <f t="shared" si="2"/>
        <v>NY500N0</v>
      </c>
      <c r="D35" t="s">
        <v>38</v>
      </c>
      <c r="E35">
        <v>0</v>
      </c>
      <c r="F35" s="1" t="s">
        <v>63</v>
      </c>
      <c r="G35">
        <v>413900</v>
      </c>
      <c r="H35">
        <v>20700</v>
      </c>
      <c r="I35">
        <v>171574100</v>
      </c>
      <c r="J35">
        <v>280975400</v>
      </c>
      <c r="K35"/>
      <c r="L35"/>
      <c r="P35" s="1"/>
    </row>
    <row r="36" spans="1:24" x14ac:dyDescent="0.35">
      <c r="A36" t="str">
        <f t="shared" si="0"/>
        <v>NCN</v>
      </c>
      <c r="B36" t="str">
        <f t="shared" si="1"/>
        <v>NC500N</v>
      </c>
      <c r="C36" t="str">
        <f t="shared" si="2"/>
        <v>NC500N0</v>
      </c>
      <c r="D36" t="s">
        <v>39</v>
      </c>
      <c r="E36">
        <v>0</v>
      </c>
      <c r="F36" s="1" t="s">
        <v>63</v>
      </c>
      <c r="G36">
        <v>148800</v>
      </c>
      <c r="H36">
        <v>9000</v>
      </c>
      <c r="I36">
        <v>69969300</v>
      </c>
      <c r="J36">
        <v>122718700</v>
      </c>
      <c r="K36"/>
      <c r="L36"/>
      <c r="P36" s="1"/>
    </row>
    <row r="37" spans="1:24" x14ac:dyDescent="0.35">
      <c r="A37" t="str">
        <f t="shared" si="0"/>
        <v>NDN</v>
      </c>
      <c r="B37" t="str">
        <f t="shared" si="1"/>
        <v>ND500N</v>
      </c>
      <c r="C37" t="str">
        <f t="shared" si="2"/>
        <v>ND500N0</v>
      </c>
      <c r="D37" t="s">
        <v>40</v>
      </c>
      <c r="E37">
        <v>0</v>
      </c>
      <c r="F37" s="1" t="s">
        <v>63</v>
      </c>
      <c r="G37">
        <v>13500</v>
      </c>
      <c r="H37">
        <v>800</v>
      </c>
      <c r="I37">
        <v>6150100</v>
      </c>
      <c r="J37">
        <v>10215500</v>
      </c>
      <c r="K37"/>
      <c r="L37"/>
      <c r="P37" s="1"/>
    </row>
    <row r="38" spans="1:24" x14ac:dyDescent="0.35">
      <c r="A38" t="str">
        <f t="shared" si="0"/>
        <v>OHN</v>
      </c>
      <c r="B38" t="str">
        <f t="shared" si="1"/>
        <v>OH500N</v>
      </c>
      <c r="C38" t="str">
        <f t="shared" si="2"/>
        <v>OH500N0</v>
      </c>
      <c r="D38" t="s">
        <v>41</v>
      </c>
      <c r="E38">
        <v>0</v>
      </c>
      <c r="F38" s="1" t="s">
        <v>63</v>
      </c>
      <c r="G38">
        <v>196700</v>
      </c>
      <c r="H38">
        <v>11300</v>
      </c>
      <c r="I38">
        <v>93858800</v>
      </c>
      <c r="J38">
        <v>155975900</v>
      </c>
      <c r="K38"/>
      <c r="L38"/>
      <c r="P38" s="1"/>
    </row>
    <row r="39" spans="1:24" x14ac:dyDescent="0.35">
      <c r="A39" t="str">
        <f t="shared" si="0"/>
        <v>OKN</v>
      </c>
      <c r="B39" t="str">
        <f t="shared" si="1"/>
        <v>OK500N</v>
      </c>
      <c r="C39" t="str">
        <f t="shared" si="2"/>
        <v>OK500N0</v>
      </c>
      <c r="D39" t="s">
        <v>42</v>
      </c>
      <c r="E39">
        <v>0</v>
      </c>
      <c r="F39" s="1" t="s">
        <v>63</v>
      </c>
      <c r="G39">
        <v>59900</v>
      </c>
      <c r="H39">
        <v>2900</v>
      </c>
      <c r="I39">
        <v>22876700</v>
      </c>
      <c r="J39">
        <v>39177200</v>
      </c>
      <c r="K39"/>
      <c r="L39"/>
      <c r="P39" s="1"/>
    </row>
    <row r="40" spans="1:24" x14ac:dyDescent="0.35">
      <c r="A40" t="str">
        <f t="shared" si="0"/>
        <v>ORN</v>
      </c>
      <c r="B40" t="str">
        <f t="shared" si="1"/>
        <v>OR500N</v>
      </c>
      <c r="C40" t="str">
        <f t="shared" si="2"/>
        <v>OR500N0</v>
      </c>
      <c r="D40" t="s">
        <v>43</v>
      </c>
      <c r="E40">
        <v>0</v>
      </c>
      <c r="F40" s="1" t="s">
        <v>63</v>
      </c>
      <c r="G40">
        <v>62900</v>
      </c>
      <c r="H40">
        <v>4700</v>
      </c>
      <c r="I40">
        <v>36600400</v>
      </c>
      <c r="J40">
        <v>62820800</v>
      </c>
      <c r="K40"/>
      <c r="L40"/>
      <c r="P40" s="1"/>
    </row>
    <row r="41" spans="1:24" x14ac:dyDescent="0.35">
      <c r="A41" t="str">
        <f t="shared" si="0"/>
        <v>PAN</v>
      </c>
      <c r="B41" t="str">
        <f t="shared" si="1"/>
        <v>PA500N</v>
      </c>
      <c r="C41" t="str">
        <f t="shared" si="2"/>
        <v>PA500N0</v>
      </c>
      <c r="D41" t="s">
        <v>44</v>
      </c>
      <c r="E41">
        <v>0</v>
      </c>
      <c r="F41" s="1" t="s">
        <v>63</v>
      </c>
      <c r="G41">
        <v>184100</v>
      </c>
      <c r="H41">
        <v>11800</v>
      </c>
      <c r="I41">
        <v>94768200</v>
      </c>
      <c r="J41">
        <v>162801800</v>
      </c>
      <c r="K41"/>
      <c r="L41"/>
      <c r="P41" s="1"/>
    </row>
    <row r="42" spans="1:24" x14ac:dyDescent="0.35">
      <c r="A42" t="str">
        <f t="shared" si="0"/>
        <v>RIN</v>
      </c>
      <c r="B42" t="str">
        <f t="shared" si="1"/>
        <v>RI500N</v>
      </c>
      <c r="C42" t="str">
        <f t="shared" si="2"/>
        <v>RI500N0</v>
      </c>
      <c r="D42" t="s">
        <v>45</v>
      </c>
      <c r="E42">
        <v>0</v>
      </c>
      <c r="F42" s="1" t="s">
        <v>63</v>
      </c>
      <c r="G42">
        <v>13700</v>
      </c>
      <c r="H42">
        <v>500</v>
      </c>
      <c r="I42">
        <v>3803200</v>
      </c>
      <c r="J42">
        <v>6568900</v>
      </c>
      <c r="K42"/>
      <c r="L42"/>
      <c r="P42" s="1"/>
    </row>
    <row r="43" spans="1:24" x14ac:dyDescent="0.35">
      <c r="A43" t="str">
        <f t="shared" si="0"/>
        <v>SCN</v>
      </c>
      <c r="B43" t="str">
        <f t="shared" si="1"/>
        <v>SC500N</v>
      </c>
      <c r="C43" t="str">
        <f t="shared" si="2"/>
        <v>SC500N0</v>
      </c>
      <c r="D43" t="s">
        <v>46</v>
      </c>
      <c r="E43">
        <v>0</v>
      </c>
      <c r="F43" s="1" t="s">
        <v>63</v>
      </c>
      <c r="G43">
        <v>58300</v>
      </c>
      <c r="H43">
        <v>2700</v>
      </c>
      <c r="I43">
        <v>20631500</v>
      </c>
      <c r="J43">
        <v>35089000</v>
      </c>
      <c r="K43"/>
      <c r="L43"/>
      <c r="P43" s="1"/>
    </row>
    <row r="44" spans="1:24" x14ac:dyDescent="0.35">
      <c r="A44" t="str">
        <f t="shared" si="0"/>
        <v>SDN</v>
      </c>
      <c r="B44" t="str">
        <f t="shared" si="1"/>
        <v>SD500N</v>
      </c>
      <c r="C44" t="str">
        <f t="shared" si="2"/>
        <v>SD500N0</v>
      </c>
      <c r="D44" t="s">
        <v>47</v>
      </c>
      <c r="E44">
        <v>0</v>
      </c>
      <c r="F44" s="1" t="s">
        <v>63</v>
      </c>
      <c r="G44">
        <v>15400</v>
      </c>
      <c r="H44">
        <v>800</v>
      </c>
      <c r="I44">
        <v>6055900</v>
      </c>
      <c r="J44">
        <v>9588600</v>
      </c>
      <c r="K44"/>
      <c r="L44"/>
      <c r="P44" s="1"/>
    </row>
    <row r="45" spans="1:24" x14ac:dyDescent="0.35">
      <c r="A45" t="str">
        <f t="shared" si="0"/>
        <v>TNN</v>
      </c>
      <c r="B45" t="str">
        <f t="shared" si="1"/>
        <v>TN500N</v>
      </c>
      <c r="C45" t="str">
        <f t="shared" si="2"/>
        <v>TN500N0</v>
      </c>
      <c r="D45" t="s">
        <v>48</v>
      </c>
      <c r="E45">
        <v>0</v>
      </c>
      <c r="F45" s="1" t="s">
        <v>63</v>
      </c>
      <c r="G45">
        <v>127200</v>
      </c>
      <c r="H45">
        <v>5000</v>
      </c>
      <c r="I45">
        <v>41105200</v>
      </c>
      <c r="J45">
        <v>65854800</v>
      </c>
      <c r="K45"/>
      <c r="L45"/>
      <c r="P45" s="1"/>
    </row>
    <row r="46" spans="1:24" x14ac:dyDescent="0.35">
      <c r="A46" t="str">
        <f t="shared" si="0"/>
        <v>TXN</v>
      </c>
      <c r="B46" t="str">
        <f t="shared" si="1"/>
        <v>TX500N</v>
      </c>
      <c r="C46" t="str">
        <f t="shared" si="2"/>
        <v>TX500N1</v>
      </c>
      <c r="D46" t="s">
        <v>49</v>
      </c>
      <c r="E46">
        <v>1</v>
      </c>
      <c r="F46" s="1" t="s">
        <v>63</v>
      </c>
      <c r="G46">
        <v>197400</v>
      </c>
      <c r="H46">
        <v>10200</v>
      </c>
      <c r="I46">
        <v>82997000</v>
      </c>
      <c r="J46">
        <v>142188600</v>
      </c>
      <c r="P46" s="1"/>
      <c r="X46" s="1"/>
    </row>
    <row r="47" spans="1:24" x14ac:dyDescent="0.35">
      <c r="A47" t="str">
        <f t="shared" si="0"/>
        <v>TXN</v>
      </c>
      <c r="B47" t="str">
        <f t="shared" si="1"/>
        <v>TX500N</v>
      </c>
      <c r="C47" t="str">
        <f t="shared" si="2"/>
        <v>TX500N2</v>
      </c>
      <c r="D47" t="s">
        <v>49</v>
      </c>
      <c r="E47">
        <v>2</v>
      </c>
      <c r="F47" s="1" t="s">
        <v>63</v>
      </c>
      <c r="G47">
        <v>122400</v>
      </c>
      <c r="H47">
        <v>3200</v>
      </c>
      <c r="I47">
        <v>43103600</v>
      </c>
      <c r="J47">
        <v>73117700</v>
      </c>
      <c r="P47" s="1"/>
      <c r="X47" s="1"/>
    </row>
    <row r="48" spans="1:24" x14ac:dyDescent="0.35">
      <c r="A48" t="str">
        <f t="shared" si="0"/>
        <v>UTN</v>
      </c>
      <c r="B48" t="str">
        <f t="shared" si="1"/>
        <v>UT500N</v>
      </c>
      <c r="C48" t="str">
        <f t="shared" si="2"/>
        <v>UT500N0</v>
      </c>
      <c r="D48" t="s">
        <v>50</v>
      </c>
      <c r="E48">
        <v>0</v>
      </c>
      <c r="F48" s="1" t="s">
        <v>63</v>
      </c>
      <c r="G48">
        <v>34800</v>
      </c>
      <c r="H48">
        <v>1900</v>
      </c>
      <c r="I48">
        <v>15381800</v>
      </c>
      <c r="J48">
        <v>25759900</v>
      </c>
      <c r="K48"/>
      <c r="L48"/>
      <c r="P48" s="1"/>
    </row>
    <row r="49" spans="1:24" x14ac:dyDescent="0.35">
      <c r="A49" t="str">
        <f t="shared" si="0"/>
        <v>VTN</v>
      </c>
      <c r="B49" t="str">
        <f t="shared" si="1"/>
        <v>VT500N</v>
      </c>
      <c r="C49" t="str">
        <f t="shared" si="2"/>
        <v>VT500N0</v>
      </c>
      <c r="D49" t="s">
        <v>51</v>
      </c>
      <c r="E49">
        <v>0</v>
      </c>
      <c r="F49" s="1" t="s">
        <v>63</v>
      </c>
      <c r="G49">
        <v>12600</v>
      </c>
      <c r="H49">
        <v>500</v>
      </c>
      <c r="I49">
        <v>4050400</v>
      </c>
      <c r="J49">
        <v>7034100</v>
      </c>
      <c r="K49"/>
      <c r="L49"/>
      <c r="P49" s="1"/>
    </row>
    <row r="50" spans="1:24" x14ac:dyDescent="0.35">
      <c r="A50" t="str">
        <f t="shared" si="0"/>
        <v>VAN</v>
      </c>
      <c r="B50" t="str">
        <f t="shared" si="1"/>
        <v>VA500N</v>
      </c>
      <c r="C50" t="str">
        <f t="shared" si="2"/>
        <v>VA500N0</v>
      </c>
      <c r="D50" t="s">
        <v>52</v>
      </c>
      <c r="E50">
        <v>0</v>
      </c>
      <c r="F50" s="1" t="s">
        <v>63</v>
      </c>
      <c r="G50">
        <v>144500</v>
      </c>
      <c r="H50">
        <v>8200</v>
      </c>
      <c r="I50">
        <v>68881100</v>
      </c>
      <c r="J50">
        <v>115571500</v>
      </c>
      <c r="K50"/>
      <c r="L50"/>
      <c r="P50" s="1"/>
    </row>
    <row r="51" spans="1:24" x14ac:dyDescent="0.35">
      <c r="A51" t="str">
        <f t="shared" si="0"/>
        <v>WAN</v>
      </c>
      <c r="B51" t="str">
        <f t="shared" si="1"/>
        <v>WA500N</v>
      </c>
      <c r="C51" t="str">
        <f t="shared" si="2"/>
        <v>WA500N0</v>
      </c>
      <c r="D51" t="s">
        <v>53</v>
      </c>
      <c r="E51">
        <v>0</v>
      </c>
      <c r="F51" s="1" t="s">
        <v>63</v>
      </c>
      <c r="G51">
        <v>74700</v>
      </c>
      <c r="H51">
        <v>4500</v>
      </c>
      <c r="I51">
        <v>37059200</v>
      </c>
      <c r="J51">
        <v>61586100</v>
      </c>
      <c r="K51"/>
      <c r="L51"/>
      <c r="P51" s="1"/>
    </row>
    <row r="52" spans="1:24" x14ac:dyDescent="0.35">
      <c r="A52" t="str">
        <f t="shared" si="0"/>
        <v>WVN</v>
      </c>
      <c r="B52" t="str">
        <f t="shared" si="1"/>
        <v>WV500N</v>
      </c>
      <c r="C52" t="str">
        <f t="shared" si="2"/>
        <v>WV500N0</v>
      </c>
      <c r="D52" t="s">
        <v>54</v>
      </c>
      <c r="E52">
        <v>0</v>
      </c>
      <c r="F52" s="1" t="s">
        <v>63</v>
      </c>
      <c r="G52">
        <v>35200</v>
      </c>
      <c r="H52">
        <v>1300</v>
      </c>
      <c r="I52">
        <v>10902600</v>
      </c>
      <c r="J52">
        <v>17903900</v>
      </c>
      <c r="K52"/>
      <c r="L52"/>
      <c r="P52" s="1"/>
    </row>
    <row r="53" spans="1:24" x14ac:dyDescent="0.35">
      <c r="A53" t="str">
        <f t="shared" si="0"/>
        <v>WIN</v>
      </c>
      <c r="B53" t="str">
        <f t="shared" si="1"/>
        <v>WI500N</v>
      </c>
      <c r="C53" t="str">
        <f t="shared" si="2"/>
        <v>WI500N0</v>
      </c>
      <c r="D53" t="s">
        <v>55</v>
      </c>
      <c r="E53">
        <v>0</v>
      </c>
      <c r="F53" s="1" t="s">
        <v>63</v>
      </c>
      <c r="G53">
        <v>85400</v>
      </c>
      <c r="H53">
        <v>4800</v>
      </c>
      <c r="I53">
        <v>35457200</v>
      </c>
      <c r="J53">
        <v>57508700</v>
      </c>
      <c r="K53"/>
      <c r="L53"/>
      <c r="P53" s="1"/>
    </row>
    <row r="54" spans="1:24" x14ac:dyDescent="0.35">
      <c r="A54" t="str">
        <f t="shared" si="0"/>
        <v>WYN</v>
      </c>
      <c r="B54" t="str">
        <f t="shared" si="1"/>
        <v>WY500N</v>
      </c>
      <c r="C54" t="str">
        <f t="shared" si="2"/>
        <v>WY500N0</v>
      </c>
      <c r="D54" t="s">
        <v>56</v>
      </c>
      <c r="E54">
        <v>0</v>
      </c>
      <c r="F54" s="1" t="s">
        <v>63</v>
      </c>
      <c r="G54">
        <v>9400</v>
      </c>
      <c r="H54">
        <v>600</v>
      </c>
      <c r="I54">
        <v>4817800</v>
      </c>
      <c r="J54">
        <v>7289000</v>
      </c>
      <c r="K54"/>
      <c r="L54"/>
      <c r="P54" s="1"/>
    </row>
    <row r="55" spans="1:24" x14ac:dyDescent="0.35">
      <c r="A55" t="str">
        <f t="shared" si="0"/>
        <v>ALW</v>
      </c>
      <c r="B55" t="str">
        <f t="shared" si="1"/>
        <v>AL500W</v>
      </c>
      <c r="C55" t="str">
        <f t="shared" si="2"/>
        <v>AL500W0</v>
      </c>
      <c r="D55" t="s">
        <v>5</v>
      </c>
      <c r="E55">
        <v>0</v>
      </c>
      <c r="F55" t="s">
        <v>57</v>
      </c>
      <c r="G55">
        <v>51100</v>
      </c>
      <c r="H55">
        <v>3400</v>
      </c>
      <c r="I55">
        <v>29152100</v>
      </c>
      <c r="J55">
        <v>50804300</v>
      </c>
      <c r="K55"/>
      <c r="L55"/>
      <c r="P55" s="1"/>
    </row>
    <row r="56" spans="1:24" x14ac:dyDescent="0.35">
      <c r="A56" t="str">
        <f t="shared" si="0"/>
        <v>AKW</v>
      </c>
      <c r="B56" t="str">
        <f t="shared" si="1"/>
        <v>AK500W</v>
      </c>
      <c r="C56" t="str">
        <f t="shared" si="2"/>
        <v>AK500W0</v>
      </c>
      <c r="D56" t="s">
        <v>7</v>
      </c>
      <c r="E56">
        <v>0</v>
      </c>
      <c r="F56" t="s">
        <v>57</v>
      </c>
      <c r="G56">
        <v>5900</v>
      </c>
      <c r="H56">
        <v>500</v>
      </c>
      <c r="I56">
        <v>3947500</v>
      </c>
      <c r="J56">
        <v>6328100</v>
      </c>
      <c r="K56"/>
      <c r="L56"/>
      <c r="P56" s="1"/>
    </row>
    <row r="57" spans="1:24" x14ac:dyDescent="0.35">
      <c r="A57" t="str">
        <f t="shared" si="0"/>
        <v>AZW</v>
      </c>
      <c r="B57" t="str">
        <f t="shared" si="1"/>
        <v>AZ500W</v>
      </c>
      <c r="C57" t="str">
        <f t="shared" si="2"/>
        <v>AZ500W0</v>
      </c>
      <c r="D57" t="s">
        <v>8</v>
      </c>
      <c r="E57">
        <v>0</v>
      </c>
      <c r="F57" t="s">
        <v>57</v>
      </c>
      <c r="G57">
        <v>49100</v>
      </c>
      <c r="H57">
        <v>3000</v>
      </c>
      <c r="I57">
        <v>22064700</v>
      </c>
      <c r="J57">
        <v>36278600</v>
      </c>
      <c r="K57"/>
      <c r="L57"/>
      <c r="P57" s="1"/>
    </row>
    <row r="58" spans="1:24" x14ac:dyDescent="0.35">
      <c r="A58" t="str">
        <f t="shared" si="0"/>
        <v>ARW</v>
      </c>
      <c r="B58" t="str">
        <f t="shared" si="1"/>
        <v>AR500W</v>
      </c>
      <c r="C58" t="str">
        <f t="shared" si="2"/>
        <v>AR500W0</v>
      </c>
      <c r="D58" t="s">
        <v>9</v>
      </c>
      <c r="E58">
        <v>0</v>
      </c>
      <c r="F58" t="s">
        <v>57</v>
      </c>
      <c r="G58">
        <v>25200</v>
      </c>
      <c r="H58">
        <v>2000</v>
      </c>
      <c r="I58">
        <v>17628400</v>
      </c>
      <c r="J58">
        <v>26948700</v>
      </c>
      <c r="K58"/>
      <c r="L58"/>
      <c r="P58" s="1"/>
    </row>
    <row r="59" spans="1:24" x14ac:dyDescent="0.35">
      <c r="A59" t="str">
        <f t="shared" si="0"/>
        <v>CAW</v>
      </c>
      <c r="B59" t="str">
        <f t="shared" si="1"/>
        <v>CA500W</v>
      </c>
      <c r="C59" t="str">
        <f t="shared" si="2"/>
        <v>CA500W1</v>
      </c>
      <c r="D59" t="s">
        <v>10</v>
      </c>
      <c r="E59">
        <v>1</v>
      </c>
      <c r="F59" s="1" t="s">
        <v>57</v>
      </c>
      <c r="G59">
        <v>137300</v>
      </c>
      <c r="H59">
        <v>9000</v>
      </c>
      <c r="I59">
        <v>67697600</v>
      </c>
      <c r="J59">
        <v>108794300</v>
      </c>
      <c r="K59"/>
      <c r="L59"/>
      <c r="P59" s="1"/>
      <c r="X59" s="1"/>
    </row>
    <row r="60" spans="1:24" x14ac:dyDescent="0.35">
      <c r="A60" t="str">
        <f t="shared" si="0"/>
        <v>CAW</v>
      </c>
      <c r="B60" t="str">
        <f t="shared" si="1"/>
        <v>CA500W</v>
      </c>
      <c r="C60" t="str">
        <f t="shared" si="2"/>
        <v>CA500W2</v>
      </c>
      <c r="D60" t="s">
        <v>10</v>
      </c>
      <c r="E60">
        <v>2</v>
      </c>
      <c r="F60" s="1" t="s">
        <v>57</v>
      </c>
      <c r="G60">
        <v>167700</v>
      </c>
      <c r="H60">
        <v>11000</v>
      </c>
      <c r="I60">
        <v>82923400</v>
      </c>
      <c r="J60">
        <v>143127400</v>
      </c>
      <c r="K60"/>
      <c r="L60"/>
      <c r="P60" s="1"/>
      <c r="X60" s="1"/>
    </row>
    <row r="61" spans="1:24" x14ac:dyDescent="0.35">
      <c r="A61" t="str">
        <f t="shared" si="0"/>
        <v>COW</v>
      </c>
      <c r="B61" t="str">
        <f t="shared" si="1"/>
        <v>CO500W</v>
      </c>
      <c r="C61" t="str">
        <f t="shared" si="2"/>
        <v>CO500W0</v>
      </c>
      <c r="D61" t="s">
        <v>11</v>
      </c>
      <c r="E61">
        <v>0</v>
      </c>
      <c r="F61" t="s">
        <v>57</v>
      </c>
      <c r="G61">
        <v>49900</v>
      </c>
      <c r="H61">
        <v>3900</v>
      </c>
      <c r="I61">
        <v>30975200</v>
      </c>
      <c r="J61">
        <v>49944500</v>
      </c>
      <c r="K61"/>
      <c r="L61"/>
      <c r="P61" s="1"/>
    </row>
    <row r="62" spans="1:24" x14ac:dyDescent="0.35">
      <c r="A62" t="str">
        <f t="shared" si="0"/>
        <v>CTW</v>
      </c>
      <c r="B62" t="str">
        <f t="shared" si="1"/>
        <v>CT500W</v>
      </c>
      <c r="C62" t="str">
        <f t="shared" si="2"/>
        <v>CT500W0</v>
      </c>
      <c r="D62" t="s">
        <v>12</v>
      </c>
      <c r="E62">
        <v>0</v>
      </c>
      <c r="F62" t="s">
        <v>57</v>
      </c>
      <c r="G62">
        <v>33500</v>
      </c>
      <c r="H62">
        <v>2000</v>
      </c>
      <c r="I62">
        <v>16733400</v>
      </c>
      <c r="J62">
        <v>29114100</v>
      </c>
      <c r="K62"/>
      <c r="L62"/>
      <c r="P62" s="1"/>
    </row>
    <row r="63" spans="1:24" x14ac:dyDescent="0.35">
      <c r="A63" t="str">
        <f t="shared" si="0"/>
        <v>DEW</v>
      </c>
      <c r="B63" t="str">
        <f t="shared" si="1"/>
        <v>DE500W</v>
      </c>
      <c r="C63" t="str">
        <f t="shared" si="2"/>
        <v>DE500W0</v>
      </c>
      <c r="D63" t="s">
        <v>13</v>
      </c>
      <c r="E63">
        <v>0</v>
      </c>
      <c r="F63" t="s">
        <v>57</v>
      </c>
      <c r="G63">
        <v>8600</v>
      </c>
      <c r="H63">
        <v>600</v>
      </c>
      <c r="I63">
        <v>4763200</v>
      </c>
      <c r="J63">
        <v>7520200</v>
      </c>
      <c r="K63"/>
      <c r="L63"/>
      <c r="P63" s="1"/>
    </row>
    <row r="64" spans="1:24" x14ac:dyDescent="0.35">
      <c r="A64" t="str">
        <f t="shared" si="0"/>
        <v>DCW</v>
      </c>
      <c r="B64" t="str">
        <f t="shared" si="1"/>
        <v>DC500W</v>
      </c>
      <c r="C64" t="str">
        <f t="shared" si="2"/>
        <v>DC500W0</v>
      </c>
      <c r="D64" t="s">
        <v>14</v>
      </c>
      <c r="E64">
        <v>0</v>
      </c>
      <c r="F64" t="s">
        <v>57</v>
      </c>
      <c r="G64">
        <v>7000</v>
      </c>
      <c r="H64">
        <v>500</v>
      </c>
      <c r="I64">
        <v>3919700</v>
      </c>
      <c r="J64">
        <v>6358000</v>
      </c>
      <c r="K64"/>
      <c r="L64"/>
      <c r="P64" s="1"/>
    </row>
    <row r="65" spans="1:16" x14ac:dyDescent="0.35">
      <c r="A65" t="str">
        <f t="shared" si="0"/>
        <v>FLW</v>
      </c>
      <c r="B65" t="str">
        <f t="shared" si="1"/>
        <v>FL500W</v>
      </c>
      <c r="C65" t="str">
        <f t="shared" si="2"/>
        <v>FL500W0</v>
      </c>
      <c r="D65" t="s">
        <v>15</v>
      </c>
      <c r="E65">
        <v>0</v>
      </c>
      <c r="F65" t="s">
        <v>57</v>
      </c>
      <c r="G65">
        <v>151500</v>
      </c>
      <c r="H65">
        <v>11200</v>
      </c>
      <c r="I65">
        <v>91588000</v>
      </c>
      <c r="J65">
        <v>141181700</v>
      </c>
      <c r="K65"/>
      <c r="L65"/>
      <c r="P65" s="1"/>
    </row>
    <row r="66" spans="1:16" x14ac:dyDescent="0.35">
      <c r="A66" t="str">
        <f t="shared" si="0"/>
        <v>GAW</v>
      </c>
      <c r="B66" t="str">
        <f t="shared" si="1"/>
        <v>GA500W</v>
      </c>
      <c r="C66" t="str">
        <f t="shared" si="2"/>
        <v>GA500W0</v>
      </c>
      <c r="D66" t="s">
        <v>16</v>
      </c>
      <c r="E66">
        <v>0</v>
      </c>
      <c r="F66" t="s">
        <v>57</v>
      </c>
      <c r="G66">
        <v>94700</v>
      </c>
      <c r="H66">
        <v>6800</v>
      </c>
      <c r="I66">
        <v>49200800</v>
      </c>
      <c r="J66">
        <v>90665600</v>
      </c>
      <c r="K66"/>
      <c r="L66"/>
      <c r="P66" s="1"/>
    </row>
    <row r="67" spans="1:16" x14ac:dyDescent="0.35">
      <c r="A67" t="str">
        <f t="shared" ref="A67:A130" si="3">D67&amp;RIGHT(F67,1)</f>
        <v>HIW</v>
      </c>
      <c r="B67" t="str">
        <f t="shared" ref="B67:B130" si="4">D67&amp;F67</f>
        <v>HI500W</v>
      </c>
      <c r="C67" t="str">
        <f t="shared" ref="C67:C130" si="5">D67&amp;F67&amp;E67</f>
        <v>HI500W0</v>
      </c>
      <c r="D67" t="s">
        <v>17</v>
      </c>
      <c r="E67">
        <v>0</v>
      </c>
      <c r="F67" t="s">
        <v>57</v>
      </c>
      <c r="G67">
        <v>8000</v>
      </c>
      <c r="H67">
        <v>600</v>
      </c>
      <c r="I67">
        <v>4864200</v>
      </c>
      <c r="J67">
        <v>8704600</v>
      </c>
      <c r="K67"/>
      <c r="L67"/>
      <c r="P67" s="1"/>
    </row>
    <row r="68" spans="1:16" x14ac:dyDescent="0.35">
      <c r="A68" t="str">
        <f t="shared" si="3"/>
        <v>IDW</v>
      </c>
      <c r="B68" t="str">
        <f t="shared" si="4"/>
        <v>ID500W</v>
      </c>
      <c r="C68" t="str">
        <f t="shared" si="5"/>
        <v>ID500W0</v>
      </c>
      <c r="D68" t="s">
        <v>18</v>
      </c>
      <c r="E68">
        <v>0</v>
      </c>
      <c r="F68" t="s">
        <v>57</v>
      </c>
      <c r="G68">
        <v>14200</v>
      </c>
      <c r="H68">
        <v>1100</v>
      </c>
      <c r="I68">
        <v>9132300</v>
      </c>
      <c r="J68">
        <v>15650500</v>
      </c>
      <c r="K68"/>
      <c r="L68"/>
      <c r="P68" s="1"/>
    </row>
    <row r="69" spans="1:16" x14ac:dyDescent="0.35">
      <c r="A69" t="str">
        <f t="shared" si="3"/>
        <v>ILW</v>
      </c>
      <c r="B69" t="str">
        <f t="shared" si="4"/>
        <v>IL500W</v>
      </c>
      <c r="C69" t="str">
        <f t="shared" si="5"/>
        <v>IL500W0</v>
      </c>
      <c r="D69" t="s">
        <v>19</v>
      </c>
      <c r="E69">
        <v>0</v>
      </c>
      <c r="F69" t="s">
        <v>57</v>
      </c>
      <c r="G69">
        <v>99600</v>
      </c>
      <c r="H69">
        <v>7800</v>
      </c>
      <c r="I69">
        <v>61687800</v>
      </c>
      <c r="J69">
        <v>112287800</v>
      </c>
      <c r="K69"/>
      <c r="L69"/>
      <c r="P69" s="1"/>
    </row>
    <row r="70" spans="1:16" x14ac:dyDescent="0.35">
      <c r="A70" t="str">
        <f t="shared" si="3"/>
        <v>INW</v>
      </c>
      <c r="B70" t="str">
        <f t="shared" si="4"/>
        <v>IN500W</v>
      </c>
      <c r="C70" t="str">
        <f t="shared" si="5"/>
        <v>IN500W0</v>
      </c>
      <c r="D70" t="s">
        <v>20</v>
      </c>
      <c r="E70">
        <v>0</v>
      </c>
      <c r="F70" t="s">
        <v>57</v>
      </c>
      <c r="G70">
        <v>73900</v>
      </c>
      <c r="H70">
        <v>4300</v>
      </c>
      <c r="I70">
        <v>33188500</v>
      </c>
      <c r="J70">
        <v>62296800</v>
      </c>
      <c r="K70"/>
      <c r="L70"/>
      <c r="P70" s="1"/>
    </row>
    <row r="71" spans="1:16" x14ac:dyDescent="0.35">
      <c r="A71" t="str">
        <f t="shared" si="3"/>
        <v>IAW</v>
      </c>
      <c r="B71" t="str">
        <f t="shared" si="4"/>
        <v>IA500W</v>
      </c>
      <c r="C71" t="str">
        <f t="shared" si="5"/>
        <v>IA500W0</v>
      </c>
      <c r="D71" t="s">
        <v>21</v>
      </c>
      <c r="E71">
        <v>0</v>
      </c>
      <c r="F71" t="s">
        <v>57</v>
      </c>
      <c r="G71">
        <v>18600</v>
      </c>
      <c r="H71">
        <v>1200</v>
      </c>
      <c r="I71">
        <v>9828800</v>
      </c>
      <c r="J71">
        <v>17212000</v>
      </c>
      <c r="K71"/>
      <c r="L71"/>
      <c r="P71" s="1"/>
    </row>
    <row r="72" spans="1:16" x14ac:dyDescent="0.35">
      <c r="A72" t="str">
        <f t="shared" si="3"/>
        <v>KSW</v>
      </c>
      <c r="B72" t="str">
        <f t="shared" si="4"/>
        <v>KS500W</v>
      </c>
      <c r="C72" t="str">
        <f t="shared" si="5"/>
        <v>KS500W0</v>
      </c>
      <c r="D72" t="s">
        <v>22</v>
      </c>
      <c r="E72">
        <v>0</v>
      </c>
      <c r="F72" t="s">
        <v>57</v>
      </c>
      <c r="G72">
        <v>23000</v>
      </c>
      <c r="H72">
        <v>1700</v>
      </c>
      <c r="I72">
        <v>15085700</v>
      </c>
      <c r="J72">
        <v>24558300</v>
      </c>
      <c r="K72"/>
      <c r="L72"/>
      <c r="P72" s="1"/>
    </row>
    <row r="73" spans="1:16" x14ac:dyDescent="0.35">
      <c r="A73" t="str">
        <f t="shared" si="3"/>
        <v>KYW</v>
      </c>
      <c r="B73" t="str">
        <f t="shared" si="4"/>
        <v>KY500W</v>
      </c>
      <c r="C73" t="str">
        <f t="shared" si="5"/>
        <v>KY500W0</v>
      </c>
      <c r="D73" t="s">
        <v>23</v>
      </c>
      <c r="E73">
        <v>0</v>
      </c>
      <c r="F73" t="s">
        <v>57</v>
      </c>
      <c r="G73">
        <v>24900</v>
      </c>
      <c r="H73">
        <v>2200</v>
      </c>
      <c r="I73">
        <v>16911500</v>
      </c>
      <c r="J73">
        <v>26065900</v>
      </c>
      <c r="K73"/>
      <c r="L73"/>
      <c r="P73" s="1"/>
    </row>
    <row r="74" spans="1:16" x14ac:dyDescent="0.35">
      <c r="A74" t="str">
        <f t="shared" si="3"/>
        <v>LAW</v>
      </c>
      <c r="B74" t="str">
        <f t="shared" si="4"/>
        <v>LA500W</v>
      </c>
      <c r="C74" t="str">
        <f t="shared" si="5"/>
        <v>LA500W0</v>
      </c>
      <c r="D74" t="s">
        <v>24</v>
      </c>
      <c r="E74">
        <v>0</v>
      </c>
      <c r="F74" t="s">
        <v>57</v>
      </c>
      <c r="G74">
        <v>34900</v>
      </c>
      <c r="H74">
        <v>2000</v>
      </c>
      <c r="I74">
        <v>17186300</v>
      </c>
      <c r="J74">
        <v>27931800</v>
      </c>
      <c r="K74"/>
      <c r="L74"/>
      <c r="P74" s="1"/>
    </row>
    <row r="75" spans="1:16" x14ac:dyDescent="0.35">
      <c r="A75" t="str">
        <f t="shared" si="3"/>
        <v>MEW</v>
      </c>
      <c r="B75" t="str">
        <f t="shared" si="4"/>
        <v>ME500W</v>
      </c>
      <c r="C75" t="str">
        <f t="shared" si="5"/>
        <v>ME500W0</v>
      </c>
      <c r="D75" t="s">
        <v>25</v>
      </c>
      <c r="E75">
        <v>0</v>
      </c>
      <c r="F75" t="s">
        <v>57</v>
      </c>
      <c r="G75">
        <v>14400</v>
      </c>
      <c r="H75">
        <v>1000</v>
      </c>
      <c r="I75">
        <v>7663000</v>
      </c>
      <c r="J75">
        <v>13310800</v>
      </c>
      <c r="K75"/>
      <c r="L75"/>
      <c r="P75" s="1"/>
    </row>
    <row r="76" spans="1:16" x14ac:dyDescent="0.35">
      <c r="A76" t="str">
        <f t="shared" si="3"/>
        <v>MDW</v>
      </c>
      <c r="B76" t="str">
        <f t="shared" si="4"/>
        <v>MD500W</v>
      </c>
      <c r="C76" t="str">
        <f t="shared" si="5"/>
        <v>MD500W0</v>
      </c>
      <c r="D76" t="s">
        <v>26</v>
      </c>
      <c r="E76">
        <v>0</v>
      </c>
      <c r="F76" t="s">
        <v>57</v>
      </c>
      <c r="G76">
        <v>51900</v>
      </c>
      <c r="H76">
        <v>4300</v>
      </c>
      <c r="I76">
        <v>34159000</v>
      </c>
      <c r="J76">
        <v>57649100</v>
      </c>
      <c r="K76"/>
      <c r="L76"/>
      <c r="P76" s="1"/>
    </row>
    <row r="77" spans="1:16" x14ac:dyDescent="0.35">
      <c r="A77" t="str">
        <f t="shared" si="3"/>
        <v>MAW</v>
      </c>
      <c r="B77" t="str">
        <f t="shared" si="4"/>
        <v>MA500W</v>
      </c>
      <c r="C77" t="str">
        <f t="shared" si="5"/>
        <v>MA500W0</v>
      </c>
      <c r="D77" t="s">
        <v>27</v>
      </c>
      <c r="E77">
        <v>0</v>
      </c>
      <c r="F77" t="s">
        <v>57</v>
      </c>
      <c r="G77">
        <v>66600</v>
      </c>
      <c r="H77">
        <v>4800</v>
      </c>
      <c r="I77">
        <v>39782500</v>
      </c>
      <c r="J77">
        <v>64769400</v>
      </c>
      <c r="K77"/>
      <c r="L77"/>
      <c r="P77" s="1"/>
    </row>
    <row r="78" spans="1:16" x14ac:dyDescent="0.35">
      <c r="A78" t="str">
        <f t="shared" si="3"/>
        <v>MIW</v>
      </c>
      <c r="B78" t="str">
        <f t="shared" si="4"/>
        <v>MI500W</v>
      </c>
      <c r="C78" t="str">
        <f t="shared" si="5"/>
        <v>MI500W0</v>
      </c>
      <c r="D78" t="s">
        <v>28</v>
      </c>
      <c r="E78">
        <v>0</v>
      </c>
      <c r="F78" t="s">
        <v>57</v>
      </c>
      <c r="G78">
        <v>56700</v>
      </c>
      <c r="H78">
        <v>5200</v>
      </c>
      <c r="I78">
        <v>42469700</v>
      </c>
      <c r="J78">
        <v>69077900</v>
      </c>
      <c r="K78"/>
      <c r="L78"/>
      <c r="P78" s="1"/>
    </row>
    <row r="79" spans="1:16" x14ac:dyDescent="0.35">
      <c r="A79" t="str">
        <f t="shared" si="3"/>
        <v>MNW</v>
      </c>
      <c r="B79" t="str">
        <f t="shared" si="4"/>
        <v>MN500W</v>
      </c>
      <c r="C79" t="str">
        <f t="shared" si="5"/>
        <v>MN500W0</v>
      </c>
      <c r="D79" t="s">
        <v>29</v>
      </c>
      <c r="E79">
        <v>0</v>
      </c>
      <c r="F79" t="s">
        <v>57</v>
      </c>
      <c r="G79">
        <v>46100</v>
      </c>
      <c r="H79">
        <v>4100</v>
      </c>
      <c r="I79">
        <v>31979800</v>
      </c>
      <c r="J79">
        <v>50053800</v>
      </c>
      <c r="K79"/>
      <c r="L79"/>
      <c r="P79" s="1"/>
    </row>
    <row r="80" spans="1:16" x14ac:dyDescent="0.35">
      <c r="A80" t="str">
        <f t="shared" si="3"/>
        <v>MSW</v>
      </c>
      <c r="B80" t="str">
        <f t="shared" si="4"/>
        <v>MS500W</v>
      </c>
      <c r="C80" t="str">
        <f t="shared" si="5"/>
        <v>MS500W0</v>
      </c>
      <c r="D80" t="s">
        <v>30</v>
      </c>
      <c r="E80">
        <v>0</v>
      </c>
      <c r="F80" t="s">
        <v>57</v>
      </c>
      <c r="G80">
        <v>24900</v>
      </c>
      <c r="H80">
        <v>2200</v>
      </c>
      <c r="I80">
        <v>18352300</v>
      </c>
      <c r="J80">
        <v>30279300</v>
      </c>
      <c r="K80"/>
      <c r="L80"/>
      <c r="P80" s="1"/>
    </row>
    <row r="81" spans="1:16" x14ac:dyDescent="0.35">
      <c r="A81" t="str">
        <f t="shared" si="3"/>
        <v>MOW</v>
      </c>
      <c r="B81" t="str">
        <f t="shared" si="4"/>
        <v>MO500W</v>
      </c>
      <c r="C81" t="str">
        <f t="shared" si="5"/>
        <v>MO500W0</v>
      </c>
      <c r="D81" t="s">
        <v>31</v>
      </c>
      <c r="E81">
        <v>0</v>
      </c>
      <c r="F81" t="s">
        <v>57</v>
      </c>
      <c r="G81">
        <v>51000</v>
      </c>
      <c r="H81">
        <v>4100</v>
      </c>
      <c r="I81">
        <v>31386900</v>
      </c>
      <c r="J81">
        <v>55197100</v>
      </c>
      <c r="K81"/>
      <c r="L81"/>
      <c r="P81" s="1"/>
    </row>
    <row r="82" spans="1:16" x14ac:dyDescent="0.35">
      <c r="A82" t="str">
        <f t="shared" si="3"/>
        <v>MTW</v>
      </c>
      <c r="B82" t="str">
        <f t="shared" si="4"/>
        <v>MT500W</v>
      </c>
      <c r="C82" t="str">
        <f t="shared" si="5"/>
        <v>MT500W0</v>
      </c>
      <c r="D82" t="s">
        <v>32</v>
      </c>
      <c r="E82">
        <v>0</v>
      </c>
      <c r="F82" t="s">
        <v>57</v>
      </c>
      <c r="G82">
        <v>9200</v>
      </c>
      <c r="H82">
        <v>600</v>
      </c>
      <c r="I82">
        <v>5135400</v>
      </c>
      <c r="J82">
        <v>9039000</v>
      </c>
      <c r="K82"/>
      <c r="L82"/>
      <c r="P82" s="1"/>
    </row>
    <row r="83" spans="1:16" x14ac:dyDescent="0.35">
      <c r="A83" t="str">
        <f t="shared" si="3"/>
        <v>NEW</v>
      </c>
      <c r="B83" t="str">
        <f t="shared" si="4"/>
        <v>NE500W</v>
      </c>
      <c r="C83" t="str">
        <f t="shared" si="5"/>
        <v>NE500W0</v>
      </c>
      <c r="D83" t="s">
        <v>33</v>
      </c>
      <c r="E83">
        <v>0</v>
      </c>
      <c r="F83" t="s">
        <v>57</v>
      </c>
      <c r="G83">
        <v>21100</v>
      </c>
      <c r="H83">
        <v>1900</v>
      </c>
      <c r="I83">
        <v>16967500</v>
      </c>
      <c r="J83">
        <v>27667000</v>
      </c>
      <c r="K83"/>
      <c r="L83"/>
      <c r="P83" s="1"/>
    </row>
    <row r="84" spans="1:16" x14ac:dyDescent="0.35">
      <c r="A84" t="str">
        <f t="shared" si="3"/>
        <v>NVW</v>
      </c>
      <c r="B84" t="str">
        <f t="shared" si="4"/>
        <v>NV500W</v>
      </c>
      <c r="C84" t="str">
        <f t="shared" si="5"/>
        <v>NV500W0</v>
      </c>
      <c r="D84" t="s">
        <v>34</v>
      </c>
      <c r="E84">
        <v>0</v>
      </c>
      <c r="F84" t="s">
        <v>57</v>
      </c>
      <c r="G84">
        <v>23000</v>
      </c>
      <c r="H84">
        <v>1600</v>
      </c>
      <c r="I84">
        <v>12961000</v>
      </c>
      <c r="J84">
        <v>22176700</v>
      </c>
      <c r="K84"/>
      <c r="L84"/>
      <c r="P84" s="1"/>
    </row>
    <row r="85" spans="1:16" x14ac:dyDescent="0.35">
      <c r="A85" t="str">
        <f t="shared" si="3"/>
        <v>NHW</v>
      </c>
      <c r="B85" t="str">
        <f t="shared" si="4"/>
        <v>NH500W</v>
      </c>
      <c r="C85" t="str">
        <f t="shared" si="5"/>
        <v>NH500W0</v>
      </c>
      <c r="D85" t="s">
        <v>35</v>
      </c>
      <c r="E85">
        <v>0</v>
      </c>
      <c r="F85" t="s">
        <v>57</v>
      </c>
      <c r="G85">
        <v>11900</v>
      </c>
      <c r="H85">
        <v>900</v>
      </c>
      <c r="I85">
        <v>6923700</v>
      </c>
      <c r="J85">
        <v>11516800</v>
      </c>
      <c r="K85"/>
      <c r="L85"/>
      <c r="P85" s="1"/>
    </row>
    <row r="86" spans="1:16" x14ac:dyDescent="0.35">
      <c r="A86" t="str">
        <f t="shared" si="3"/>
        <v>NJW</v>
      </c>
      <c r="B86" t="str">
        <f t="shared" si="4"/>
        <v>NJ500W</v>
      </c>
      <c r="C86" t="str">
        <f t="shared" si="5"/>
        <v>NJ500W0</v>
      </c>
      <c r="D86" t="s">
        <v>36</v>
      </c>
      <c r="E86">
        <v>0</v>
      </c>
      <c r="F86" t="s">
        <v>57</v>
      </c>
      <c r="G86">
        <v>70300</v>
      </c>
      <c r="H86">
        <v>3900</v>
      </c>
      <c r="I86">
        <v>29956300</v>
      </c>
      <c r="J86">
        <v>54238700</v>
      </c>
      <c r="K86"/>
      <c r="L86"/>
      <c r="P86" s="1"/>
    </row>
    <row r="87" spans="1:16" x14ac:dyDescent="0.35">
      <c r="A87" t="str">
        <f t="shared" si="3"/>
        <v>NMW</v>
      </c>
      <c r="B87" t="str">
        <f t="shared" si="4"/>
        <v>NM500W</v>
      </c>
      <c r="C87" t="str">
        <f t="shared" si="5"/>
        <v>NM500W0</v>
      </c>
      <c r="D87" t="s">
        <v>37</v>
      </c>
      <c r="E87">
        <v>0</v>
      </c>
      <c r="F87" t="s">
        <v>57</v>
      </c>
      <c r="G87">
        <v>21200</v>
      </c>
      <c r="H87">
        <v>1800</v>
      </c>
      <c r="I87">
        <v>14268200</v>
      </c>
      <c r="J87">
        <v>23802700</v>
      </c>
      <c r="K87"/>
      <c r="L87"/>
      <c r="P87" s="1"/>
    </row>
    <row r="88" spans="1:16" x14ac:dyDescent="0.35">
      <c r="A88" t="str">
        <f t="shared" si="3"/>
        <v>NYW</v>
      </c>
      <c r="B88" t="str">
        <f t="shared" si="4"/>
        <v>NY500W</v>
      </c>
      <c r="C88" t="str">
        <f t="shared" si="5"/>
        <v>NY500W0</v>
      </c>
      <c r="D88" t="s">
        <v>38</v>
      </c>
      <c r="E88">
        <v>0</v>
      </c>
      <c r="F88" t="s">
        <v>57</v>
      </c>
      <c r="G88">
        <v>169300</v>
      </c>
      <c r="H88">
        <v>11700</v>
      </c>
      <c r="I88">
        <v>100316700</v>
      </c>
      <c r="J88">
        <v>148944400</v>
      </c>
      <c r="K88"/>
      <c r="L88"/>
      <c r="P88" s="1"/>
    </row>
    <row r="89" spans="1:16" x14ac:dyDescent="0.35">
      <c r="A89" t="str">
        <f t="shared" si="3"/>
        <v>NCW</v>
      </c>
      <c r="B89" t="str">
        <f t="shared" si="4"/>
        <v>NC500W</v>
      </c>
      <c r="C89" t="str">
        <f t="shared" si="5"/>
        <v>NC500W0</v>
      </c>
      <c r="D89" t="s">
        <v>39</v>
      </c>
      <c r="E89">
        <v>0</v>
      </c>
      <c r="F89" t="s">
        <v>57</v>
      </c>
      <c r="G89">
        <v>71200</v>
      </c>
      <c r="H89">
        <v>5900</v>
      </c>
      <c r="I89">
        <v>51518700</v>
      </c>
      <c r="J89">
        <v>84234200</v>
      </c>
      <c r="K89"/>
      <c r="L89"/>
      <c r="P89" s="1"/>
    </row>
    <row r="90" spans="1:16" x14ac:dyDescent="0.35">
      <c r="A90" t="str">
        <f t="shared" si="3"/>
        <v>NDW</v>
      </c>
      <c r="B90" t="str">
        <f t="shared" si="4"/>
        <v>ND500W</v>
      </c>
      <c r="C90" t="str">
        <f t="shared" si="5"/>
        <v>ND500W0</v>
      </c>
      <c r="D90" t="s">
        <v>40</v>
      </c>
      <c r="E90">
        <v>0</v>
      </c>
      <c r="F90" t="s">
        <v>57</v>
      </c>
      <c r="G90">
        <v>8000</v>
      </c>
      <c r="H90">
        <v>600</v>
      </c>
      <c r="I90">
        <v>4813100</v>
      </c>
      <c r="J90">
        <v>8097600</v>
      </c>
      <c r="K90"/>
      <c r="L90"/>
      <c r="P90" s="1"/>
    </row>
    <row r="91" spans="1:16" x14ac:dyDescent="0.35">
      <c r="A91" t="str">
        <f t="shared" si="3"/>
        <v>OHW</v>
      </c>
      <c r="B91" t="str">
        <f t="shared" si="4"/>
        <v>OH500W</v>
      </c>
      <c r="C91" t="str">
        <f t="shared" si="5"/>
        <v>OH500W0</v>
      </c>
      <c r="D91" t="s">
        <v>41</v>
      </c>
      <c r="E91">
        <v>0</v>
      </c>
      <c r="F91" t="s">
        <v>57</v>
      </c>
      <c r="G91">
        <v>92000</v>
      </c>
      <c r="H91">
        <v>7200</v>
      </c>
      <c r="I91">
        <v>56725100</v>
      </c>
      <c r="J91">
        <v>92015900</v>
      </c>
      <c r="K91"/>
      <c r="L91"/>
      <c r="P91" s="1"/>
    </row>
    <row r="92" spans="1:16" x14ac:dyDescent="0.35">
      <c r="A92" t="str">
        <f t="shared" si="3"/>
        <v>OKW</v>
      </c>
      <c r="B92" t="str">
        <f t="shared" si="4"/>
        <v>OK500W</v>
      </c>
      <c r="C92" t="str">
        <f t="shared" si="5"/>
        <v>OK500W0</v>
      </c>
      <c r="D92" t="s">
        <v>42</v>
      </c>
      <c r="E92">
        <v>0</v>
      </c>
      <c r="F92" t="s">
        <v>57</v>
      </c>
      <c r="G92">
        <v>32500</v>
      </c>
      <c r="H92">
        <v>2300</v>
      </c>
      <c r="I92">
        <v>18093600</v>
      </c>
      <c r="J92">
        <v>30719800</v>
      </c>
      <c r="K92"/>
      <c r="L92"/>
      <c r="P92" s="1"/>
    </row>
    <row r="93" spans="1:16" x14ac:dyDescent="0.35">
      <c r="A93" t="str">
        <f t="shared" si="3"/>
        <v>ORW</v>
      </c>
      <c r="B93" t="str">
        <f t="shared" si="4"/>
        <v>OR500W</v>
      </c>
      <c r="C93" t="str">
        <f t="shared" si="5"/>
        <v>OR500W0</v>
      </c>
      <c r="D93" t="s">
        <v>43</v>
      </c>
      <c r="E93">
        <v>0</v>
      </c>
      <c r="F93" t="s">
        <v>57</v>
      </c>
      <c r="G93">
        <v>34900</v>
      </c>
      <c r="H93">
        <v>3500</v>
      </c>
      <c r="I93">
        <v>27415100</v>
      </c>
      <c r="J93">
        <v>43977000</v>
      </c>
      <c r="K93"/>
      <c r="L93"/>
      <c r="P93" s="1"/>
    </row>
    <row r="94" spans="1:16" x14ac:dyDescent="0.35">
      <c r="A94" t="str">
        <f t="shared" si="3"/>
        <v>PAW</v>
      </c>
      <c r="B94" t="str">
        <f t="shared" si="4"/>
        <v>PA500W</v>
      </c>
      <c r="C94" t="str">
        <f t="shared" si="5"/>
        <v>PA500W0</v>
      </c>
      <c r="D94" t="s">
        <v>44</v>
      </c>
      <c r="E94">
        <v>0</v>
      </c>
      <c r="F94" t="s">
        <v>57</v>
      </c>
      <c r="G94">
        <v>89900</v>
      </c>
      <c r="H94">
        <v>7300</v>
      </c>
      <c r="I94">
        <v>54097000</v>
      </c>
      <c r="J94">
        <v>89351300</v>
      </c>
      <c r="K94"/>
      <c r="L94"/>
      <c r="P94" s="1"/>
    </row>
    <row r="95" spans="1:16" x14ac:dyDescent="0.35">
      <c r="A95" t="str">
        <f t="shared" si="3"/>
        <v>RIW</v>
      </c>
      <c r="B95" t="str">
        <f t="shared" si="4"/>
        <v>RI500W</v>
      </c>
      <c r="C95" t="str">
        <f t="shared" si="5"/>
        <v>RI500W0</v>
      </c>
      <c r="D95" t="s">
        <v>45</v>
      </c>
      <c r="E95">
        <v>0</v>
      </c>
      <c r="F95" t="s">
        <v>57</v>
      </c>
      <c r="G95">
        <v>6900</v>
      </c>
      <c r="H95">
        <v>500</v>
      </c>
      <c r="I95">
        <v>4276200</v>
      </c>
      <c r="J95">
        <v>7855600</v>
      </c>
      <c r="K95"/>
      <c r="L95"/>
      <c r="P95" s="1"/>
    </row>
    <row r="96" spans="1:16" x14ac:dyDescent="0.35">
      <c r="A96" t="str">
        <f t="shared" si="3"/>
        <v>SCW</v>
      </c>
      <c r="B96" t="str">
        <f t="shared" si="4"/>
        <v>SC500W</v>
      </c>
      <c r="C96" t="str">
        <f t="shared" si="5"/>
        <v>SC500W0</v>
      </c>
      <c r="D96" t="s">
        <v>46</v>
      </c>
      <c r="E96">
        <v>0</v>
      </c>
      <c r="F96" t="s">
        <v>57</v>
      </c>
      <c r="G96">
        <v>31500</v>
      </c>
      <c r="H96">
        <v>2200</v>
      </c>
      <c r="I96">
        <v>17994900</v>
      </c>
      <c r="J96">
        <v>31397700</v>
      </c>
      <c r="K96"/>
      <c r="L96"/>
      <c r="P96" s="1"/>
    </row>
    <row r="97" spans="1:24" x14ac:dyDescent="0.35">
      <c r="A97" t="str">
        <f t="shared" si="3"/>
        <v>SDW</v>
      </c>
      <c r="B97" t="str">
        <f t="shared" si="4"/>
        <v>SD500W</v>
      </c>
      <c r="C97" t="str">
        <f t="shared" si="5"/>
        <v>SD500W0</v>
      </c>
      <c r="D97" t="s">
        <v>47</v>
      </c>
      <c r="E97">
        <v>0</v>
      </c>
      <c r="F97" t="s">
        <v>57</v>
      </c>
      <c r="G97">
        <v>6700</v>
      </c>
      <c r="H97">
        <v>600</v>
      </c>
      <c r="I97">
        <v>4981900</v>
      </c>
      <c r="J97">
        <v>8794000</v>
      </c>
      <c r="K97"/>
      <c r="L97"/>
      <c r="P97" s="1"/>
    </row>
    <row r="98" spans="1:24" x14ac:dyDescent="0.35">
      <c r="A98" t="str">
        <f t="shared" si="3"/>
        <v>TNW</v>
      </c>
      <c r="B98" t="str">
        <f t="shared" si="4"/>
        <v>TN500W</v>
      </c>
      <c r="C98" t="str">
        <f t="shared" si="5"/>
        <v>TN500W0</v>
      </c>
      <c r="D98" t="s">
        <v>48</v>
      </c>
      <c r="E98">
        <v>0</v>
      </c>
      <c r="F98" t="s">
        <v>57</v>
      </c>
      <c r="G98">
        <v>55100</v>
      </c>
      <c r="H98">
        <v>3500</v>
      </c>
      <c r="I98">
        <v>27713200</v>
      </c>
      <c r="J98">
        <v>47007500</v>
      </c>
      <c r="K98"/>
      <c r="L98"/>
      <c r="P98" s="1"/>
    </row>
    <row r="99" spans="1:24" x14ac:dyDescent="0.35">
      <c r="A99" t="str">
        <f t="shared" si="3"/>
        <v>TXW</v>
      </c>
      <c r="B99" t="str">
        <f t="shared" si="4"/>
        <v>TX500W</v>
      </c>
      <c r="C99" t="str">
        <f t="shared" si="5"/>
        <v>TX500W1</v>
      </c>
      <c r="D99" t="s">
        <v>49</v>
      </c>
      <c r="E99">
        <v>1</v>
      </c>
      <c r="F99" s="1" t="s">
        <v>57</v>
      </c>
      <c r="G99">
        <v>94400</v>
      </c>
      <c r="H99">
        <v>7100</v>
      </c>
      <c r="I99">
        <v>58951600</v>
      </c>
      <c r="J99">
        <v>96772700</v>
      </c>
      <c r="P99" s="1"/>
      <c r="X99" s="1"/>
    </row>
    <row r="100" spans="1:24" x14ac:dyDescent="0.35">
      <c r="A100" t="str">
        <f t="shared" si="3"/>
        <v>TXW</v>
      </c>
      <c r="B100" t="str">
        <f t="shared" si="4"/>
        <v>TX500W</v>
      </c>
      <c r="C100" t="str">
        <f t="shared" si="5"/>
        <v>TX500W2</v>
      </c>
      <c r="D100" t="s">
        <v>49</v>
      </c>
      <c r="E100">
        <v>2</v>
      </c>
      <c r="F100" s="1" t="s">
        <v>57</v>
      </c>
      <c r="G100">
        <v>60300</v>
      </c>
      <c r="H100">
        <v>3400</v>
      </c>
      <c r="I100">
        <v>29152100</v>
      </c>
      <c r="J100">
        <v>50804300</v>
      </c>
      <c r="P100" s="1"/>
      <c r="X100" s="1"/>
    </row>
    <row r="101" spans="1:24" x14ac:dyDescent="0.35">
      <c r="A101" t="str">
        <f t="shared" si="3"/>
        <v>UTW</v>
      </c>
      <c r="B101" t="str">
        <f t="shared" si="4"/>
        <v>UT500W</v>
      </c>
      <c r="C101" t="str">
        <f t="shared" si="5"/>
        <v>UT500W0</v>
      </c>
      <c r="D101" t="s">
        <v>50</v>
      </c>
      <c r="E101">
        <v>0</v>
      </c>
      <c r="F101" t="s">
        <v>57</v>
      </c>
      <c r="G101">
        <v>15400</v>
      </c>
      <c r="H101">
        <v>1300</v>
      </c>
      <c r="I101">
        <v>10248000</v>
      </c>
      <c r="J101">
        <v>17492100</v>
      </c>
      <c r="K101"/>
      <c r="L101"/>
      <c r="P101" s="1"/>
    </row>
    <row r="102" spans="1:24" x14ac:dyDescent="0.35">
      <c r="A102" t="str">
        <f t="shared" si="3"/>
        <v>VTW</v>
      </c>
      <c r="B102" t="str">
        <f t="shared" si="4"/>
        <v>VT500W</v>
      </c>
      <c r="C102" t="str">
        <f t="shared" si="5"/>
        <v>VT500W0</v>
      </c>
      <c r="D102" t="s">
        <v>51</v>
      </c>
      <c r="E102">
        <v>0</v>
      </c>
      <c r="F102" t="s">
        <v>57</v>
      </c>
      <c r="G102">
        <v>7000</v>
      </c>
      <c r="H102">
        <v>400</v>
      </c>
      <c r="I102">
        <v>3310700</v>
      </c>
      <c r="J102">
        <v>5235100</v>
      </c>
      <c r="K102"/>
      <c r="L102"/>
      <c r="P102" s="1"/>
    </row>
    <row r="103" spans="1:24" x14ac:dyDescent="0.35">
      <c r="A103" t="str">
        <f t="shared" si="3"/>
        <v>VAW</v>
      </c>
      <c r="B103" t="str">
        <f t="shared" si="4"/>
        <v>VA500W</v>
      </c>
      <c r="C103" t="str">
        <f t="shared" si="5"/>
        <v>VA500W0</v>
      </c>
      <c r="D103" t="s">
        <v>52</v>
      </c>
      <c r="E103">
        <v>0</v>
      </c>
      <c r="F103" t="s">
        <v>57</v>
      </c>
      <c r="G103">
        <v>61400</v>
      </c>
      <c r="H103">
        <v>5500</v>
      </c>
      <c r="I103">
        <v>45944200</v>
      </c>
      <c r="J103">
        <v>74849500</v>
      </c>
      <c r="K103"/>
      <c r="L103"/>
      <c r="P103" s="1"/>
    </row>
    <row r="104" spans="1:24" x14ac:dyDescent="0.35">
      <c r="A104" t="str">
        <f t="shared" si="3"/>
        <v>WAW</v>
      </c>
      <c r="B104" t="str">
        <f t="shared" si="4"/>
        <v>WA500W</v>
      </c>
      <c r="C104" t="str">
        <f t="shared" si="5"/>
        <v>WA500W0</v>
      </c>
      <c r="D104" t="s">
        <v>53</v>
      </c>
      <c r="E104">
        <v>0</v>
      </c>
      <c r="F104" t="s">
        <v>57</v>
      </c>
      <c r="G104">
        <v>39500</v>
      </c>
      <c r="H104">
        <v>3000</v>
      </c>
      <c r="I104">
        <v>25324100</v>
      </c>
      <c r="J104">
        <v>41484900</v>
      </c>
      <c r="K104"/>
      <c r="L104"/>
      <c r="P104" s="1"/>
    </row>
    <row r="105" spans="1:24" x14ac:dyDescent="0.35">
      <c r="A105" t="str">
        <f t="shared" si="3"/>
        <v>WVW</v>
      </c>
      <c r="B105" t="str">
        <f t="shared" si="4"/>
        <v>WV500W</v>
      </c>
      <c r="C105" t="str">
        <f t="shared" si="5"/>
        <v>WV500W0</v>
      </c>
      <c r="D105" t="s">
        <v>54</v>
      </c>
      <c r="E105">
        <v>0</v>
      </c>
      <c r="F105" t="s">
        <v>57</v>
      </c>
      <c r="G105">
        <v>17900</v>
      </c>
      <c r="H105">
        <v>1000</v>
      </c>
      <c r="I105">
        <v>7582600</v>
      </c>
      <c r="J105">
        <v>12215800</v>
      </c>
      <c r="K105"/>
      <c r="L105"/>
      <c r="P105" s="1"/>
    </row>
    <row r="106" spans="1:24" x14ac:dyDescent="0.35">
      <c r="A106" t="str">
        <f t="shared" si="3"/>
        <v>WIW</v>
      </c>
      <c r="B106" t="str">
        <f t="shared" si="4"/>
        <v>WI500W</v>
      </c>
      <c r="C106" t="str">
        <f t="shared" si="5"/>
        <v>WI500W0</v>
      </c>
      <c r="D106" t="s">
        <v>55</v>
      </c>
      <c r="E106">
        <v>0</v>
      </c>
      <c r="F106" t="s">
        <v>57</v>
      </c>
      <c r="G106">
        <v>43700</v>
      </c>
      <c r="H106">
        <v>3700</v>
      </c>
      <c r="I106">
        <v>26598100</v>
      </c>
      <c r="J106">
        <v>45890600</v>
      </c>
      <c r="K106"/>
      <c r="L106"/>
      <c r="P106" s="1"/>
    </row>
    <row r="107" spans="1:24" x14ac:dyDescent="0.35">
      <c r="A107" t="str">
        <f t="shared" si="3"/>
        <v>WYW</v>
      </c>
      <c r="B107" t="str">
        <f t="shared" si="4"/>
        <v>WY500W</v>
      </c>
      <c r="C107" t="str">
        <f t="shared" si="5"/>
        <v>WY500W0</v>
      </c>
      <c r="D107" t="s">
        <v>56</v>
      </c>
      <c r="E107">
        <v>0</v>
      </c>
      <c r="F107" t="s">
        <v>57</v>
      </c>
      <c r="G107">
        <v>4600</v>
      </c>
      <c r="H107">
        <v>400</v>
      </c>
      <c r="I107">
        <v>3370000</v>
      </c>
      <c r="J107">
        <v>5536800</v>
      </c>
      <c r="K107"/>
      <c r="L107"/>
      <c r="P107" s="1"/>
    </row>
    <row r="108" spans="1:24" x14ac:dyDescent="0.35">
      <c r="A108" t="str">
        <f t="shared" si="3"/>
        <v>ALN</v>
      </c>
      <c r="B108" t="str">
        <f t="shared" si="4"/>
        <v>AL1000N</v>
      </c>
      <c r="C108" t="str">
        <f t="shared" si="5"/>
        <v>AL1000N0</v>
      </c>
      <c r="D108" t="s">
        <v>5</v>
      </c>
      <c r="E108">
        <v>0</v>
      </c>
      <c r="F108" s="1" t="s">
        <v>64</v>
      </c>
      <c r="G108">
        <v>79100</v>
      </c>
      <c r="H108">
        <v>3100</v>
      </c>
      <c r="I108">
        <v>26463900</v>
      </c>
      <c r="J108">
        <v>44597000</v>
      </c>
      <c r="K108"/>
      <c r="L108"/>
    </row>
    <row r="109" spans="1:24" x14ac:dyDescent="0.35">
      <c r="A109" t="str">
        <f t="shared" si="3"/>
        <v>AKN</v>
      </c>
      <c r="B109" t="str">
        <f t="shared" si="4"/>
        <v>AK1000N</v>
      </c>
      <c r="C109" t="str">
        <f t="shared" si="5"/>
        <v>AK1000N0</v>
      </c>
      <c r="D109" t="s">
        <v>7</v>
      </c>
      <c r="E109">
        <v>0</v>
      </c>
      <c r="F109" s="1" t="s">
        <v>64</v>
      </c>
      <c r="G109">
        <v>10000</v>
      </c>
      <c r="H109">
        <v>400</v>
      </c>
      <c r="I109">
        <v>3389200</v>
      </c>
      <c r="J109">
        <v>5692000</v>
      </c>
      <c r="K109"/>
      <c r="L109"/>
    </row>
    <row r="110" spans="1:24" x14ac:dyDescent="0.35">
      <c r="A110" t="str">
        <f t="shared" si="3"/>
        <v>AZN</v>
      </c>
      <c r="B110" t="str">
        <f t="shared" si="4"/>
        <v>AZ1000N</v>
      </c>
      <c r="C110" t="str">
        <f t="shared" si="5"/>
        <v>AZ1000N0</v>
      </c>
      <c r="D110" t="s">
        <v>8</v>
      </c>
      <c r="E110">
        <v>0</v>
      </c>
      <c r="F110" s="1" t="s">
        <v>64</v>
      </c>
      <c r="G110">
        <v>79900</v>
      </c>
      <c r="H110">
        <v>4700</v>
      </c>
      <c r="I110">
        <v>39597100</v>
      </c>
      <c r="J110">
        <v>69176300</v>
      </c>
      <c r="K110"/>
      <c r="L110"/>
    </row>
    <row r="111" spans="1:24" x14ac:dyDescent="0.35">
      <c r="A111" t="str">
        <f t="shared" si="3"/>
        <v>ARN</v>
      </c>
      <c r="B111" t="str">
        <f t="shared" si="4"/>
        <v>AR1000N</v>
      </c>
      <c r="C111" t="str">
        <f t="shared" si="5"/>
        <v>AR1000N0</v>
      </c>
      <c r="D111" t="s">
        <v>9</v>
      </c>
      <c r="E111">
        <v>0</v>
      </c>
      <c r="F111" s="1" t="s">
        <v>64</v>
      </c>
      <c r="G111">
        <v>37700</v>
      </c>
      <c r="H111">
        <v>2100</v>
      </c>
      <c r="I111">
        <v>18101800</v>
      </c>
      <c r="J111">
        <v>30819400</v>
      </c>
      <c r="K111"/>
      <c r="L111"/>
    </row>
    <row r="112" spans="1:24" x14ac:dyDescent="0.35">
      <c r="A112" t="str">
        <f t="shared" si="3"/>
        <v>CAN</v>
      </c>
      <c r="B112" t="str">
        <f t="shared" si="4"/>
        <v>CA1000N</v>
      </c>
      <c r="C112" t="str">
        <f t="shared" si="5"/>
        <v>CA1000N1</v>
      </c>
      <c r="D112" t="s">
        <v>10</v>
      </c>
      <c r="E112">
        <v>1</v>
      </c>
      <c r="F112" s="1" t="s">
        <v>64</v>
      </c>
      <c r="G112">
        <v>232000</v>
      </c>
      <c r="H112">
        <v>10000</v>
      </c>
      <c r="I112">
        <v>89111400</v>
      </c>
      <c r="J112">
        <v>154430200</v>
      </c>
      <c r="K112"/>
      <c r="L112"/>
    </row>
    <row r="113" spans="1:12" x14ac:dyDescent="0.35">
      <c r="A113" t="str">
        <f t="shared" si="3"/>
        <v>CAN</v>
      </c>
      <c r="B113" t="str">
        <f t="shared" si="4"/>
        <v>CA1000N</v>
      </c>
      <c r="C113" t="str">
        <f t="shared" si="5"/>
        <v>CA1000N2</v>
      </c>
      <c r="D113" t="s">
        <v>10</v>
      </c>
      <c r="E113">
        <v>2</v>
      </c>
      <c r="F113" s="1" t="s">
        <v>64</v>
      </c>
      <c r="G113">
        <v>283600</v>
      </c>
      <c r="H113">
        <v>12300</v>
      </c>
      <c r="I113">
        <v>98718700</v>
      </c>
      <c r="J113">
        <v>151412400</v>
      </c>
      <c r="K113"/>
      <c r="L113"/>
    </row>
    <row r="114" spans="1:12" x14ac:dyDescent="0.35">
      <c r="A114" t="str">
        <f t="shared" si="3"/>
        <v>CON</v>
      </c>
      <c r="B114" t="str">
        <f t="shared" si="4"/>
        <v>CO1000N</v>
      </c>
      <c r="C114" t="str">
        <f t="shared" si="5"/>
        <v>CO1000N0</v>
      </c>
      <c r="D114" t="s">
        <v>11</v>
      </c>
      <c r="E114">
        <v>0</v>
      </c>
      <c r="F114" s="1" t="s">
        <v>64</v>
      </c>
      <c r="G114">
        <v>70000</v>
      </c>
      <c r="H114">
        <v>1800</v>
      </c>
      <c r="I114">
        <v>15362300</v>
      </c>
      <c r="J114">
        <v>28141600</v>
      </c>
      <c r="K114"/>
      <c r="L114"/>
    </row>
    <row r="115" spans="1:12" x14ac:dyDescent="0.35">
      <c r="A115" t="str">
        <f t="shared" si="3"/>
        <v>CTN</v>
      </c>
      <c r="B115" t="str">
        <f t="shared" si="4"/>
        <v>CT1000N</v>
      </c>
      <c r="C115" t="str">
        <f t="shared" si="5"/>
        <v>CT1000N0</v>
      </c>
      <c r="D115" t="s">
        <v>12</v>
      </c>
      <c r="E115">
        <v>0</v>
      </c>
      <c r="F115" s="1" t="s">
        <v>64</v>
      </c>
      <c r="G115">
        <v>42300</v>
      </c>
      <c r="H115">
        <v>1500</v>
      </c>
      <c r="I115">
        <v>14172700</v>
      </c>
      <c r="J115">
        <v>24300800</v>
      </c>
      <c r="K115"/>
      <c r="L115"/>
    </row>
    <row r="116" spans="1:12" x14ac:dyDescent="0.35">
      <c r="A116" t="str">
        <f t="shared" si="3"/>
        <v>DEN</v>
      </c>
      <c r="B116" t="str">
        <f t="shared" si="4"/>
        <v>DE1000N</v>
      </c>
      <c r="C116" t="str">
        <f t="shared" si="5"/>
        <v>DE1000N0</v>
      </c>
      <c r="D116" t="s">
        <v>13</v>
      </c>
      <c r="E116">
        <v>0</v>
      </c>
      <c r="F116" s="1" t="s">
        <v>64</v>
      </c>
      <c r="G116">
        <v>15900</v>
      </c>
      <c r="H116">
        <v>500</v>
      </c>
      <c r="I116">
        <v>4293400</v>
      </c>
      <c r="J116">
        <v>7719200</v>
      </c>
      <c r="K116"/>
      <c r="L116"/>
    </row>
    <row r="117" spans="1:12" x14ac:dyDescent="0.35">
      <c r="A117" t="str">
        <f t="shared" si="3"/>
        <v>DCN</v>
      </c>
      <c r="B117" t="str">
        <f t="shared" si="4"/>
        <v>DC1000N</v>
      </c>
      <c r="C117" t="str">
        <f t="shared" si="5"/>
        <v>DC1000N0</v>
      </c>
      <c r="D117" t="s">
        <v>14</v>
      </c>
      <c r="E117">
        <v>0</v>
      </c>
      <c r="F117" s="1" t="s">
        <v>64</v>
      </c>
      <c r="G117">
        <v>8300</v>
      </c>
      <c r="H117">
        <v>400</v>
      </c>
      <c r="I117">
        <v>3410800</v>
      </c>
      <c r="J117">
        <v>6000400</v>
      </c>
      <c r="K117"/>
      <c r="L117"/>
    </row>
    <row r="118" spans="1:12" x14ac:dyDescent="0.35">
      <c r="A118" t="str">
        <f t="shared" si="3"/>
        <v>FLN</v>
      </c>
      <c r="B118" t="str">
        <f t="shared" si="4"/>
        <v>FL1000N</v>
      </c>
      <c r="C118" t="str">
        <f t="shared" si="5"/>
        <v>FL1000N0</v>
      </c>
      <c r="D118" t="s">
        <v>15</v>
      </c>
      <c r="E118">
        <v>0</v>
      </c>
      <c r="F118" s="1" t="s">
        <v>64</v>
      </c>
      <c r="G118">
        <v>204100</v>
      </c>
      <c r="H118">
        <v>7000</v>
      </c>
      <c r="I118">
        <v>57515400</v>
      </c>
      <c r="J118">
        <v>96674600</v>
      </c>
      <c r="K118"/>
      <c r="L118"/>
    </row>
    <row r="119" spans="1:12" x14ac:dyDescent="0.35">
      <c r="A119" t="str">
        <f t="shared" si="3"/>
        <v>GAN</v>
      </c>
      <c r="B119" t="str">
        <f t="shared" si="4"/>
        <v>GA1000N</v>
      </c>
      <c r="C119" t="str">
        <f t="shared" si="5"/>
        <v>GA1000N0</v>
      </c>
      <c r="D119" t="s">
        <v>16</v>
      </c>
      <c r="E119">
        <v>0</v>
      </c>
      <c r="F119" s="1" t="s">
        <v>64</v>
      </c>
      <c r="G119">
        <v>143300</v>
      </c>
      <c r="H119">
        <v>5700</v>
      </c>
      <c r="I119">
        <v>49856200</v>
      </c>
      <c r="J119">
        <v>83454300</v>
      </c>
      <c r="K119"/>
      <c r="L119"/>
    </row>
    <row r="120" spans="1:12" x14ac:dyDescent="0.35">
      <c r="A120" t="str">
        <f t="shared" si="3"/>
        <v>HIN</v>
      </c>
      <c r="B120" t="str">
        <f t="shared" si="4"/>
        <v>HI1000N</v>
      </c>
      <c r="C120" t="str">
        <f t="shared" si="5"/>
        <v>HI1000N0</v>
      </c>
      <c r="D120" t="s">
        <v>17</v>
      </c>
      <c r="E120">
        <v>0</v>
      </c>
      <c r="F120" s="1" t="s">
        <v>64</v>
      </c>
      <c r="G120">
        <v>7900</v>
      </c>
      <c r="H120">
        <v>300</v>
      </c>
      <c r="I120">
        <v>2658500</v>
      </c>
      <c r="J120">
        <v>4122500</v>
      </c>
      <c r="K120"/>
      <c r="L120"/>
    </row>
    <row r="121" spans="1:12" x14ac:dyDescent="0.35">
      <c r="A121" t="str">
        <f t="shared" si="3"/>
        <v>IDN</v>
      </c>
      <c r="B121" t="str">
        <f t="shared" si="4"/>
        <v>ID1000N</v>
      </c>
      <c r="C121" t="str">
        <f t="shared" si="5"/>
        <v>ID1000N0</v>
      </c>
      <c r="D121" t="s">
        <v>18</v>
      </c>
      <c r="E121">
        <v>0</v>
      </c>
      <c r="F121" s="1" t="s">
        <v>64</v>
      </c>
      <c r="G121">
        <v>24200</v>
      </c>
      <c r="H121">
        <v>1000</v>
      </c>
      <c r="I121">
        <v>7886000</v>
      </c>
      <c r="J121">
        <v>13245000</v>
      </c>
      <c r="K121"/>
      <c r="L121"/>
    </row>
    <row r="122" spans="1:12" x14ac:dyDescent="0.35">
      <c r="A122" t="str">
        <f t="shared" si="3"/>
        <v>ILN</v>
      </c>
      <c r="B122" t="str">
        <f t="shared" si="4"/>
        <v>IL1000N</v>
      </c>
      <c r="C122" t="str">
        <f t="shared" si="5"/>
        <v>IL1000N0</v>
      </c>
      <c r="D122" t="s">
        <v>19</v>
      </c>
      <c r="E122">
        <v>0</v>
      </c>
      <c r="F122" s="1" t="s">
        <v>64</v>
      </c>
      <c r="G122">
        <v>128400</v>
      </c>
      <c r="H122">
        <v>4600</v>
      </c>
      <c r="I122">
        <v>39166600</v>
      </c>
      <c r="J122">
        <v>69260200</v>
      </c>
      <c r="K122"/>
      <c r="L122"/>
    </row>
    <row r="123" spans="1:12" x14ac:dyDescent="0.35">
      <c r="A123" t="str">
        <f t="shared" si="3"/>
        <v>INN</v>
      </c>
      <c r="B123" t="str">
        <f t="shared" si="4"/>
        <v>IN1000N</v>
      </c>
      <c r="C123" t="str">
        <f t="shared" si="5"/>
        <v>IN1000N0</v>
      </c>
      <c r="D123" t="s">
        <v>20</v>
      </c>
      <c r="E123">
        <v>0</v>
      </c>
      <c r="F123" s="1" t="s">
        <v>64</v>
      </c>
      <c r="G123">
        <v>108300</v>
      </c>
      <c r="H123">
        <v>3600</v>
      </c>
      <c r="I123">
        <v>30697900</v>
      </c>
      <c r="J123">
        <v>49817800</v>
      </c>
      <c r="K123"/>
      <c r="L123"/>
    </row>
    <row r="124" spans="1:12" x14ac:dyDescent="0.35">
      <c r="A124" t="str">
        <f t="shared" si="3"/>
        <v>IAN</v>
      </c>
      <c r="B124" t="str">
        <f t="shared" si="4"/>
        <v>IA1000N</v>
      </c>
      <c r="C124" t="str">
        <f t="shared" si="5"/>
        <v>IA1000N0</v>
      </c>
      <c r="D124" t="s">
        <v>21</v>
      </c>
      <c r="E124">
        <v>0</v>
      </c>
      <c r="F124" s="1" t="s">
        <v>64</v>
      </c>
      <c r="G124">
        <v>25200</v>
      </c>
      <c r="H124">
        <v>500</v>
      </c>
      <c r="I124">
        <v>4208400</v>
      </c>
      <c r="J124">
        <v>6348200</v>
      </c>
      <c r="K124"/>
      <c r="L124"/>
    </row>
    <row r="125" spans="1:12" x14ac:dyDescent="0.35">
      <c r="A125" t="str">
        <f t="shared" si="3"/>
        <v>KSN</v>
      </c>
      <c r="B125" t="str">
        <f t="shared" si="4"/>
        <v>KS1000N</v>
      </c>
      <c r="C125" t="str">
        <f t="shared" si="5"/>
        <v>KS1000N0</v>
      </c>
      <c r="D125" t="s">
        <v>22</v>
      </c>
      <c r="E125">
        <v>0</v>
      </c>
      <c r="F125" s="1" t="s">
        <v>64</v>
      </c>
      <c r="G125">
        <v>41600</v>
      </c>
      <c r="H125">
        <v>1800</v>
      </c>
      <c r="I125">
        <v>14662300</v>
      </c>
      <c r="J125">
        <v>22768900</v>
      </c>
      <c r="K125"/>
      <c r="L125"/>
    </row>
    <row r="126" spans="1:12" x14ac:dyDescent="0.35">
      <c r="A126" t="str">
        <f t="shared" si="3"/>
        <v>KYN</v>
      </c>
      <c r="B126" t="str">
        <f t="shared" si="4"/>
        <v>KY1000N</v>
      </c>
      <c r="C126" t="str">
        <f t="shared" si="5"/>
        <v>KY1000N0</v>
      </c>
      <c r="D126" t="s">
        <v>23</v>
      </c>
      <c r="E126">
        <v>0</v>
      </c>
      <c r="F126" s="1" t="s">
        <v>64</v>
      </c>
      <c r="G126">
        <v>41400</v>
      </c>
      <c r="H126">
        <v>1600</v>
      </c>
      <c r="I126">
        <v>14819400</v>
      </c>
      <c r="J126">
        <v>24396100</v>
      </c>
      <c r="K126"/>
      <c r="L126"/>
    </row>
    <row r="127" spans="1:12" x14ac:dyDescent="0.35">
      <c r="A127" t="str">
        <f t="shared" si="3"/>
        <v>LAN</v>
      </c>
      <c r="B127" t="str">
        <f t="shared" si="4"/>
        <v>LA1000N</v>
      </c>
      <c r="C127" t="str">
        <f t="shared" si="5"/>
        <v>LA1000N0</v>
      </c>
      <c r="D127" t="s">
        <v>24</v>
      </c>
      <c r="E127">
        <v>0</v>
      </c>
      <c r="F127" s="1" t="s">
        <v>64</v>
      </c>
      <c r="G127">
        <v>60100</v>
      </c>
      <c r="H127">
        <v>2900</v>
      </c>
      <c r="I127">
        <v>23746500</v>
      </c>
      <c r="J127">
        <v>39231600</v>
      </c>
      <c r="K127"/>
      <c r="L127"/>
    </row>
    <row r="128" spans="1:12" x14ac:dyDescent="0.35">
      <c r="A128" t="str">
        <f t="shared" si="3"/>
        <v>MEN</v>
      </c>
      <c r="B128" t="str">
        <f t="shared" si="4"/>
        <v>ME1000N</v>
      </c>
      <c r="C128" t="str">
        <f t="shared" si="5"/>
        <v>ME1000N0</v>
      </c>
      <c r="D128" t="s">
        <v>25</v>
      </c>
      <c r="E128">
        <v>0</v>
      </c>
      <c r="F128" s="1" t="s">
        <v>64</v>
      </c>
      <c r="G128">
        <v>23400</v>
      </c>
      <c r="H128">
        <v>800</v>
      </c>
      <c r="I128">
        <v>6767400</v>
      </c>
      <c r="J128">
        <v>10396400</v>
      </c>
      <c r="K128"/>
      <c r="L128"/>
    </row>
    <row r="129" spans="1:12" x14ac:dyDescent="0.35">
      <c r="A129" t="str">
        <f t="shared" si="3"/>
        <v>MDN</v>
      </c>
      <c r="B129" t="str">
        <f t="shared" si="4"/>
        <v>MD1000N</v>
      </c>
      <c r="C129" t="str">
        <f t="shared" si="5"/>
        <v>MD1000N0</v>
      </c>
      <c r="D129" t="s">
        <v>26</v>
      </c>
      <c r="E129">
        <v>0</v>
      </c>
      <c r="F129" s="1" t="s">
        <v>64</v>
      </c>
      <c r="G129">
        <v>64300</v>
      </c>
      <c r="H129">
        <v>1800</v>
      </c>
      <c r="I129">
        <v>13508300</v>
      </c>
      <c r="J129">
        <v>23359800</v>
      </c>
      <c r="K129"/>
      <c r="L129"/>
    </row>
    <row r="130" spans="1:12" x14ac:dyDescent="0.35">
      <c r="A130" t="str">
        <f t="shared" si="3"/>
        <v>MAN</v>
      </c>
      <c r="B130" t="str">
        <f t="shared" si="4"/>
        <v>MA1000N</v>
      </c>
      <c r="C130" t="str">
        <f t="shared" si="5"/>
        <v>MA1000N0</v>
      </c>
      <c r="D130" t="s">
        <v>27</v>
      </c>
      <c r="E130">
        <v>0</v>
      </c>
      <c r="F130" s="1" t="s">
        <v>64</v>
      </c>
      <c r="G130">
        <v>92100</v>
      </c>
      <c r="H130">
        <v>4600</v>
      </c>
      <c r="I130">
        <v>39678200</v>
      </c>
      <c r="J130">
        <v>66324000</v>
      </c>
      <c r="K130"/>
      <c r="L130"/>
    </row>
    <row r="131" spans="1:12" x14ac:dyDescent="0.35">
      <c r="A131" t="str">
        <f t="shared" ref="A131:A194" si="6">D131&amp;RIGHT(F131,1)</f>
        <v>MIN</v>
      </c>
      <c r="B131" t="str">
        <f t="shared" ref="B131:B194" si="7">D131&amp;F131</f>
        <v>MI1000N</v>
      </c>
      <c r="C131" t="str">
        <f t="shared" ref="C131:C194" si="8">D131&amp;F131&amp;E131</f>
        <v>MI1000N0</v>
      </c>
      <c r="D131" t="s">
        <v>28</v>
      </c>
      <c r="E131">
        <v>0</v>
      </c>
      <c r="F131" s="1" t="s">
        <v>64</v>
      </c>
      <c r="G131">
        <v>85100</v>
      </c>
      <c r="H131">
        <v>3200</v>
      </c>
      <c r="I131">
        <v>26333300</v>
      </c>
      <c r="J131">
        <v>45278000</v>
      </c>
      <c r="K131"/>
      <c r="L131"/>
    </row>
    <row r="132" spans="1:12" x14ac:dyDescent="0.35">
      <c r="A132" t="str">
        <f t="shared" si="6"/>
        <v>MNN</v>
      </c>
      <c r="B132" t="str">
        <f t="shared" si="7"/>
        <v>MN1000N</v>
      </c>
      <c r="C132" t="str">
        <f t="shared" si="8"/>
        <v>MN1000N0</v>
      </c>
      <c r="D132" t="s">
        <v>29</v>
      </c>
      <c r="E132">
        <v>0</v>
      </c>
      <c r="F132" s="1" t="s">
        <v>64</v>
      </c>
      <c r="G132">
        <v>76100</v>
      </c>
      <c r="H132">
        <v>2200</v>
      </c>
      <c r="I132">
        <v>19354500</v>
      </c>
      <c r="J132">
        <v>30370700</v>
      </c>
      <c r="K132"/>
      <c r="L132"/>
    </row>
    <row r="133" spans="1:12" x14ac:dyDescent="0.35">
      <c r="A133" t="str">
        <f t="shared" si="6"/>
        <v>MSN</v>
      </c>
      <c r="B133" t="str">
        <f t="shared" si="7"/>
        <v>MS1000N</v>
      </c>
      <c r="C133" t="str">
        <f t="shared" si="8"/>
        <v>MS1000N0</v>
      </c>
      <c r="D133" t="s">
        <v>30</v>
      </c>
      <c r="E133">
        <v>0</v>
      </c>
      <c r="F133" s="1" t="s">
        <v>64</v>
      </c>
      <c r="G133">
        <v>39800</v>
      </c>
      <c r="H133">
        <v>1600</v>
      </c>
      <c r="I133">
        <v>14787400</v>
      </c>
      <c r="J133">
        <v>25483900</v>
      </c>
      <c r="K133"/>
      <c r="L133"/>
    </row>
    <row r="134" spans="1:12" x14ac:dyDescent="0.35">
      <c r="A134" t="str">
        <f t="shared" si="6"/>
        <v>MON</v>
      </c>
      <c r="B134" t="str">
        <f t="shared" si="7"/>
        <v>MO1000N</v>
      </c>
      <c r="C134" t="str">
        <f t="shared" si="8"/>
        <v>MO1000N0</v>
      </c>
      <c r="D134" t="s">
        <v>31</v>
      </c>
      <c r="E134">
        <v>0</v>
      </c>
      <c r="F134" s="1" t="s">
        <v>64</v>
      </c>
      <c r="G134">
        <v>59400</v>
      </c>
      <c r="H134">
        <v>2200</v>
      </c>
      <c r="I134">
        <v>18310400</v>
      </c>
      <c r="J134">
        <v>33257800</v>
      </c>
      <c r="K134"/>
      <c r="L134"/>
    </row>
    <row r="135" spans="1:12" x14ac:dyDescent="0.35">
      <c r="A135" t="str">
        <f t="shared" si="6"/>
        <v>MTN</v>
      </c>
      <c r="B135" t="str">
        <f t="shared" si="7"/>
        <v>MT1000N</v>
      </c>
      <c r="C135" t="str">
        <f t="shared" si="8"/>
        <v>MT1000N0</v>
      </c>
      <c r="D135" t="s">
        <v>32</v>
      </c>
      <c r="E135">
        <v>0</v>
      </c>
      <c r="F135" s="1" t="s">
        <v>64</v>
      </c>
      <c r="G135">
        <v>14600</v>
      </c>
      <c r="H135">
        <v>700</v>
      </c>
      <c r="I135">
        <v>6286500</v>
      </c>
      <c r="J135">
        <v>10589000</v>
      </c>
      <c r="K135"/>
      <c r="L135"/>
    </row>
    <row r="136" spans="1:12" x14ac:dyDescent="0.35">
      <c r="A136" t="str">
        <f t="shared" si="6"/>
        <v>NEN</v>
      </c>
      <c r="B136" t="str">
        <f t="shared" si="7"/>
        <v>NE1000N</v>
      </c>
      <c r="C136" t="str">
        <f t="shared" si="8"/>
        <v>NE1000N0</v>
      </c>
      <c r="D136" t="s">
        <v>33</v>
      </c>
      <c r="E136">
        <v>0</v>
      </c>
      <c r="F136" s="1" t="s">
        <v>64</v>
      </c>
      <c r="G136">
        <v>24300</v>
      </c>
      <c r="H136">
        <v>900</v>
      </c>
      <c r="I136">
        <v>7902900</v>
      </c>
      <c r="J136">
        <v>12595900</v>
      </c>
      <c r="K136"/>
      <c r="L136"/>
    </row>
    <row r="137" spans="1:12" x14ac:dyDescent="0.35">
      <c r="A137" t="str">
        <f t="shared" si="6"/>
        <v>NVN</v>
      </c>
      <c r="B137" t="str">
        <f t="shared" si="7"/>
        <v>NV1000N</v>
      </c>
      <c r="C137" t="str">
        <f t="shared" si="8"/>
        <v>NV1000N0</v>
      </c>
      <c r="D137" t="s">
        <v>34</v>
      </c>
      <c r="E137">
        <v>0</v>
      </c>
      <c r="F137" s="1" t="s">
        <v>64</v>
      </c>
      <c r="G137">
        <v>31400</v>
      </c>
      <c r="H137">
        <v>1400</v>
      </c>
      <c r="I137">
        <v>11946100</v>
      </c>
      <c r="J137">
        <v>20701000</v>
      </c>
      <c r="K137"/>
      <c r="L137"/>
    </row>
    <row r="138" spans="1:12" x14ac:dyDescent="0.35">
      <c r="A138" t="str">
        <f t="shared" si="6"/>
        <v>NHN</v>
      </c>
      <c r="B138" t="str">
        <f t="shared" si="7"/>
        <v>NH1000N</v>
      </c>
      <c r="C138" t="str">
        <f t="shared" si="8"/>
        <v>NH1000N0</v>
      </c>
      <c r="D138" t="s">
        <v>35</v>
      </c>
      <c r="E138">
        <v>0</v>
      </c>
      <c r="F138" s="1" t="s">
        <v>64</v>
      </c>
      <c r="G138">
        <v>18200</v>
      </c>
      <c r="H138">
        <v>900</v>
      </c>
      <c r="I138">
        <v>7750000</v>
      </c>
      <c r="J138">
        <v>13038100</v>
      </c>
      <c r="K138"/>
      <c r="L138"/>
    </row>
    <row r="139" spans="1:12" x14ac:dyDescent="0.35">
      <c r="A139" t="str">
        <f t="shared" si="6"/>
        <v>NJN</v>
      </c>
      <c r="B139" t="str">
        <f t="shared" si="7"/>
        <v>NJ1000N</v>
      </c>
      <c r="C139" t="str">
        <f t="shared" si="8"/>
        <v>NJ1000N0</v>
      </c>
      <c r="D139" t="s">
        <v>36</v>
      </c>
      <c r="E139">
        <v>0</v>
      </c>
      <c r="F139" s="1" t="s">
        <v>64</v>
      </c>
      <c r="G139">
        <v>91100</v>
      </c>
      <c r="H139">
        <v>3300</v>
      </c>
      <c r="I139">
        <v>27283700</v>
      </c>
      <c r="J139">
        <v>51019800</v>
      </c>
      <c r="K139"/>
      <c r="L139"/>
    </row>
    <row r="140" spans="1:12" x14ac:dyDescent="0.35">
      <c r="A140" t="str">
        <f t="shared" si="6"/>
        <v>NMN</v>
      </c>
      <c r="B140" t="str">
        <f t="shared" si="7"/>
        <v>NM1000N</v>
      </c>
      <c r="C140" t="str">
        <f t="shared" si="8"/>
        <v>NM1000N0</v>
      </c>
      <c r="D140" t="s">
        <v>37</v>
      </c>
      <c r="E140">
        <v>0</v>
      </c>
      <c r="F140" s="1" t="s">
        <v>64</v>
      </c>
      <c r="G140">
        <v>34800</v>
      </c>
      <c r="H140">
        <v>1600</v>
      </c>
      <c r="I140">
        <v>13810200</v>
      </c>
      <c r="J140">
        <v>23899200</v>
      </c>
      <c r="K140"/>
      <c r="L140"/>
    </row>
    <row r="141" spans="1:12" x14ac:dyDescent="0.35">
      <c r="A141" t="str">
        <f t="shared" si="6"/>
        <v>NYN</v>
      </c>
      <c r="B141" t="str">
        <f t="shared" si="7"/>
        <v>NY1000N</v>
      </c>
      <c r="C141" t="str">
        <f t="shared" si="8"/>
        <v>NY1000N0</v>
      </c>
      <c r="D141" t="s">
        <v>38</v>
      </c>
      <c r="E141">
        <v>0</v>
      </c>
      <c r="F141" s="1" t="s">
        <v>64</v>
      </c>
      <c r="G141">
        <v>243600</v>
      </c>
      <c r="H141">
        <v>8500</v>
      </c>
      <c r="I141">
        <v>73173800</v>
      </c>
      <c r="J141">
        <v>126677200</v>
      </c>
      <c r="K141"/>
      <c r="L141"/>
    </row>
    <row r="142" spans="1:12" x14ac:dyDescent="0.35">
      <c r="A142" t="str">
        <f t="shared" si="6"/>
        <v>NCN</v>
      </c>
      <c r="B142" t="str">
        <f t="shared" si="7"/>
        <v>NC1000N</v>
      </c>
      <c r="C142" t="str">
        <f t="shared" si="8"/>
        <v>NC1000N0</v>
      </c>
      <c r="D142" t="s">
        <v>39</v>
      </c>
      <c r="E142">
        <v>0</v>
      </c>
      <c r="F142" s="1" t="s">
        <v>64</v>
      </c>
      <c r="G142">
        <v>98000</v>
      </c>
      <c r="H142">
        <v>3600</v>
      </c>
      <c r="I142">
        <v>29505500</v>
      </c>
      <c r="J142">
        <v>49375200</v>
      </c>
      <c r="K142"/>
      <c r="L142"/>
    </row>
    <row r="143" spans="1:12" x14ac:dyDescent="0.35">
      <c r="A143" t="str">
        <f t="shared" si="6"/>
        <v>NDN</v>
      </c>
      <c r="B143" t="str">
        <f t="shared" si="7"/>
        <v>ND1000N</v>
      </c>
      <c r="C143" t="str">
        <f t="shared" si="8"/>
        <v>ND1000N0</v>
      </c>
      <c r="D143" t="s">
        <v>40</v>
      </c>
      <c r="E143">
        <v>0</v>
      </c>
      <c r="F143" s="1" t="s">
        <v>64</v>
      </c>
      <c r="G143">
        <v>9600</v>
      </c>
      <c r="H143">
        <v>300</v>
      </c>
      <c r="I143">
        <v>2513500</v>
      </c>
      <c r="J143">
        <v>4119000</v>
      </c>
      <c r="K143"/>
      <c r="L143"/>
    </row>
    <row r="144" spans="1:12" x14ac:dyDescent="0.35">
      <c r="A144" t="str">
        <f t="shared" si="6"/>
        <v>OHN</v>
      </c>
      <c r="B144" t="str">
        <f t="shared" si="7"/>
        <v>OH1000N</v>
      </c>
      <c r="C144" t="str">
        <f t="shared" si="8"/>
        <v>OH1000N0</v>
      </c>
      <c r="D144" t="s">
        <v>41</v>
      </c>
      <c r="E144">
        <v>0</v>
      </c>
      <c r="F144" s="1" t="s">
        <v>64</v>
      </c>
      <c r="G144">
        <v>152200</v>
      </c>
      <c r="H144">
        <v>4200</v>
      </c>
      <c r="I144">
        <v>33727000</v>
      </c>
      <c r="J144">
        <v>54962100</v>
      </c>
      <c r="K144"/>
      <c r="L144"/>
    </row>
    <row r="145" spans="1:12" x14ac:dyDescent="0.35">
      <c r="A145" t="str">
        <f t="shared" si="6"/>
        <v>OKN</v>
      </c>
      <c r="B145" t="str">
        <f t="shared" si="7"/>
        <v>OK1000N</v>
      </c>
      <c r="C145" t="str">
        <f t="shared" si="8"/>
        <v>OK1000N0</v>
      </c>
      <c r="D145" t="s">
        <v>42</v>
      </c>
      <c r="E145">
        <v>0</v>
      </c>
      <c r="F145" s="1" t="s">
        <v>64</v>
      </c>
      <c r="G145">
        <v>42000</v>
      </c>
      <c r="H145">
        <v>1600</v>
      </c>
      <c r="I145">
        <v>12714500</v>
      </c>
      <c r="J145">
        <v>21511100</v>
      </c>
      <c r="K145"/>
      <c r="L145"/>
    </row>
    <row r="146" spans="1:12" x14ac:dyDescent="0.35">
      <c r="A146" t="str">
        <f t="shared" si="6"/>
        <v>ORN</v>
      </c>
      <c r="B146" t="str">
        <f t="shared" si="7"/>
        <v>OR1000N</v>
      </c>
      <c r="C146" t="str">
        <f t="shared" si="8"/>
        <v>OR1000N0</v>
      </c>
      <c r="D146" t="s">
        <v>43</v>
      </c>
      <c r="E146">
        <v>0</v>
      </c>
      <c r="F146" s="1" t="s">
        <v>64</v>
      </c>
      <c r="G146">
        <v>46800</v>
      </c>
      <c r="H146">
        <v>2100</v>
      </c>
      <c r="I146">
        <v>18109100</v>
      </c>
      <c r="J146">
        <v>33298300</v>
      </c>
      <c r="K146"/>
      <c r="L146"/>
    </row>
    <row r="147" spans="1:12" x14ac:dyDescent="0.35">
      <c r="A147" t="str">
        <f t="shared" si="6"/>
        <v>PAN</v>
      </c>
      <c r="B147" t="str">
        <f t="shared" si="7"/>
        <v>PA1000N</v>
      </c>
      <c r="C147" t="str">
        <f t="shared" si="8"/>
        <v>PA1000N0</v>
      </c>
      <c r="D147" t="s">
        <v>44</v>
      </c>
      <c r="E147">
        <v>0</v>
      </c>
      <c r="F147" s="1" t="s">
        <v>64</v>
      </c>
      <c r="G147">
        <v>145400</v>
      </c>
      <c r="H147">
        <v>8000</v>
      </c>
      <c r="I147">
        <v>68031700</v>
      </c>
      <c r="J147">
        <v>109922800</v>
      </c>
      <c r="K147"/>
      <c r="L147"/>
    </row>
    <row r="148" spans="1:12" x14ac:dyDescent="0.35">
      <c r="A148" t="str">
        <f t="shared" si="6"/>
        <v>RIN</v>
      </c>
      <c r="B148" t="str">
        <f t="shared" si="7"/>
        <v>RI1000N</v>
      </c>
      <c r="C148" t="str">
        <f t="shared" si="8"/>
        <v>RI1000N0</v>
      </c>
      <c r="D148" t="s">
        <v>45</v>
      </c>
      <c r="E148">
        <v>0</v>
      </c>
      <c r="F148" s="1" t="s">
        <v>64</v>
      </c>
      <c r="G148">
        <v>9600</v>
      </c>
      <c r="H148">
        <v>400</v>
      </c>
      <c r="I148">
        <v>3380500</v>
      </c>
      <c r="J148">
        <v>5577300</v>
      </c>
      <c r="K148"/>
      <c r="L148"/>
    </row>
    <row r="149" spans="1:12" x14ac:dyDescent="0.35">
      <c r="A149" t="str">
        <f t="shared" si="6"/>
        <v>SCN</v>
      </c>
      <c r="B149" t="str">
        <f t="shared" si="7"/>
        <v>SC1000N</v>
      </c>
      <c r="C149" t="str">
        <f t="shared" si="8"/>
        <v>SC1000N0</v>
      </c>
      <c r="D149" t="s">
        <v>46</v>
      </c>
      <c r="E149">
        <v>0</v>
      </c>
      <c r="F149" s="1" t="s">
        <v>64</v>
      </c>
      <c r="G149">
        <v>47400</v>
      </c>
      <c r="H149">
        <v>2000</v>
      </c>
      <c r="I149">
        <v>18198200</v>
      </c>
      <c r="J149">
        <v>28804200</v>
      </c>
      <c r="K149"/>
      <c r="L149"/>
    </row>
    <row r="150" spans="1:12" x14ac:dyDescent="0.35">
      <c r="A150" t="str">
        <f t="shared" si="6"/>
        <v>SDN</v>
      </c>
      <c r="B150" t="str">
        <f t="shared" si="7"/>
        <v>SD1000N</v>
      </c>
      <c r="C150" t="str">
        <f t="shared" si="8"/>
        <v>SD1000N0</v>
      </c>
      <c r="D150" t="s">
        <v>47</v>
      </c>
      <c r="E150">
        <v>0</v>
      </c>
      <c r="F150" s="1" t="s">
        <v>64</v>
      </c>
      <c r="G150">
        <v>12400</v>
      </c>
      <c r="H150">
        <v>600</v>
      </c>
      <c r="I150">
        <v>4982900</v>
      </c>
      <c r="J150">
        <v>8494900</v>
      </c>
      <c r="K150"/>
      <c r="L150"/>
    </row>
    <row r="151" spans="1:12" x14ac:dyDescent="0.35">
      <c r="A151" t="str">
        <f t="shared" si="6"/>
        <v>TNN</v>
      </c>
      <c r="B151" t="str">
        <f t="shared" si="7"/>
        <v>TN1000N</v>
      </c>
      <c r="C151" t="str">
        <f t="shared" si="8"/>
        <v>TN1000N0</v>
      </c>
      <c r="D151" t="s">
        <v>48</v>
      </c>
      <c r="E151">
        <v>0</v>
      </c>
      <c r="F151" s="1" t="s">
        <v>64</v>
      </c>
      <c r="G151">
        <v>82900</v>
      </c>
      <c r="H151">
        <v>3500</v>
      </c>
      <c r="I151">
        <v>27823300</v>
      </c>
      <c r="J151">
        <v>51009200</v>
      </c>
      <c r="K151"/>
      <c r="L151"/>
    </row>
    <row r="152" spans="1:12" x14ac:dyDescent="0.35">
      <c r="A152" t="str">
        <f t="shared" si="6"/>
        <v>TXN</v>
      </c>
      <c r="B152" t="str">
        <f t="shared" si="7"/>
        <v>TX1000N</v>
      </c>
      <c r="C152" t="str">
        <f t="shared" si="8"/>
        <v>TX1000N1</v>
      </c>
      <c r="D152" t="s">
        <v>49</v>
      </c>
      <c r="E152">
        <v>1</v>
      </c>
      <c r="F152" s="1" t="s">
        <v>64</v>
      </c>
      <c r="G152">
        <v>145700</v>
      </c>
      <c r="H152">
        <v>5000</v>
      </c>
      <c r="I152">
        <v>43770300</v>
      </c>
      <c r="J152">
        <v>77993900</v>
      </c>
    </row>
    <row r="153" spans="1:12" x14ac:dyDescent="0.35">
      <c r="A153" t="str">
        <f t="shared" si="6"/>
        <v>TXN</v>
      </c>
      <c r="B153" t="str">
        <f t="shared" si="7"/>
        <v>TX1000N</v>
      </c>
      <c r="C153" t="str">
        <f t="shared" si="8"/>
        <v>TX1000N2</v>
      </c>
      <c r="D153" t="s">
        <v>49</v>
      </c>
      <c r="E153">
        <v>2</v>
      </c>
      <c r="F153" s="1" t="s">
        <v>64</v>
      </c>
      <c r="G153">
        <v>60200</v>
      </c>
      <c r="H153">
        <v>3100</v>
      </c>
      <c r="I153">
        <v>26463900</v>
      </c>
      <c r="J153">
        <v>44597000</v>
      </c>
    </row>
    <row r="154" spans="1:12" x14ac:dyDescent="0.35">
      <c r="A154" t="str">
        <f t="shared" si="6"/>
        <v>UTN</v>
      </c>
      <c r="B154" t="str">
        <f t="shared" si="7"/>
        <v>UT1000N</v>
      </c>
      <c r="C154" t="str">
        <f t="shared" si="8"/>
        <v>UT1000N0</v>
      </c>
      <c r="D154" t="s">
        <v>50</v>
      </c>
      <c r="E154">
        <v>0</v>
      </c>
      <c r="F154" s="1" t="s">
        <v>64</v>
      </c>
      <c r="G154">
        <v>21800</v>
      </c>
      <c r="H154">
        <v>900</v>
      </c>
      <c r="I154">
        <v>7872600</v>
      </c>
      <c r="J154">
        <v>12755100</v>
      </c>
      <c r="K154"/>
      <c r="L154"/>
    </row>
    <row r="155" spans="1:12" x14ac:dyDescent="0.35">
      <c r="A155" t="str">
        <f t="shared" si="6"/>
        <v>VTN</v>
      </c>
      <c r="B155" t="str">
        <f t="shared" si="7"/>
        <v>VT1000N</v>
      </c>
      <c r="C155" t="str">
        <f t="shared" si="8"/>
        <v>VT1000N0</v>
      </c>
      <c r="D155" t="s">
        <v>51</v>
      </c>
      <c r="E155">
        <v>0</v>
      </c>
      <c r="F155" s="1" t="s">
        <v>64</v>
      </c>
      <c r="G155">
        <v>9300</v>
      </c>
      <c r="H155">
        <v>400</v>
      </c>
      <c r="I155">
        <v>3161300</v>
      </c>
      <c r="J155">
        <v>5514900</v>
      </c>
      <c r="K155"/>
      <c r="L155"/>
    </row>
    <row r="156" spans="1:12" x14ac:dyDescent="0.35">
      <c r="A156" t="str">
        <f t="shared" si="6"/>
        <v>VAN</v>
      </c>
      <c r="B156" t="str">
        <f t="shared" si="7"/>
        <v>VA1000N</v>
      </c>
      <c r="C156" t="str">
        <f t="shared" si="8"/>
        <v>VA1000N0</v>
      </c>
      <c r="D156" t="s">
        <v>52</v>
      </c>
      <c r="E156">
        <v>0</v>
      </c>
      <c r="F156" s="1" t="s">
        <v>64</v>
      </c>
      <c r="G156">
        <v>133200</v>
      </c>
      <c r="H156">
        <v>7000</v>
      </c>
      <c r="I156">
        <v>58803800</v>
      </c>
      <c r="J156">
        <v>94392900</v>
      </c>
      <c r="K156"/>
      <c r="L156"/>
    </row>
    <row r="157" spans="1:12" x14ac:dyDescent="0.35">
      <c r="A157" t="str">
        <f t="shared" si="6"/>
        <v>WAN</v>
      </c>
      <c r="B157" t="str">
        <f t="shared" si="7"/>
        <v>WA1000N</v>
      </c>
      <c r="C157" t="str">
        <f t="shared" si="8"/>
        <v>WA1000N0</v>
      </c>
      <c r="D157" t="s">
        <v>53</v>
      </c>
      <c r="E157">
        <v>0</v>
      </c>
      <c r="F157" s="1" t="s">
        <v>64</v>
      </c>
      <c r="G157">
        <v>56600</v>
      </c>
      <c r="H157">
        <v>1600</v>
      </c>
      <c r="I157">
        <v>14478100</v>
      </c>
      <c r="J157">
        <v>25739700</v>
      </c>
      <c r="K157"/>
      <c r="L157"/>
    </row>
    <row r="158" spans="1:12" x14ac:dyDescent="0.35">
      <c r="A158" t="str">
        <f t="shared" si="6"/>
        <v>WVN</v>
      </c>
      <c r="B158" t="str">
        <f t="shared" si="7"/>
        <v>WV1000N</v>
      </c>
      <c r="C158" t="str">
        <f t="shared" si="8"/>
        <v>WV1000N0</v>
      </c>
      <c r="D158" t="s">
        <v>54</v>
      </c>
      <c r="E158">
        <v>0</v>
      </c>
      <c r="F158" s="1" t="s">
        <v>64</v>
      </c>
      <c r="G158">
        <v>22500</v>
      </c>
      <c r="H158">
        <v>800</v>
      </c>
      <c r="I158">
        <v>7391000</v>
      </c>
      <c r="J158">
        <v>11820000</v>
      </c>
      <c r="K158"/>
      <c r="L158"/>
    </row>
    <row r="159" spans="1:12" x14ac:dyDescent="0.35">
      <c r="A159" t="str">
        <f t="shared" si="6"/>
        <v>WIN</v>
      </c>
      <c r="B159" t="str">
        <f t="shared" si="7"/>
        <v>WI1000N</v>
      </c>
      <c r="C159" t="str">
        <f t="shared" si="8"/>
        <v>WI1000N0</v>
      </c>
      <c r="D159" t="s">
        <v>55</v>
      </c>
      <c r="E159">
        <v>0</v>
      </c>
      <c r="F159" s="1" t="s">
        <v>64</v>
      </c>
      <c r="G159">
        <v>78800</v>
      </c>
      <c r="H159">
        <v>3000</v>
      </c>
      <c r="I159">
        <v>24722600</v>
      </c>
      <c r="J159">
        <v>39195700</v>
      </c>
      <c r="K159"/>
      <c r="L159"/>
    </row>
    <row r="160" spans="1:12" x14ac:dyDescent="0.35">
      <c r="A160" t="str">
        <f t="shared" si="6"/>
        <v>WYN</v>
      </c>
      <c r="B160" t="str">
        <f t="shared" si="7"/>
        <v>WY1000N</v>
      </c>
      <c r="C160" t="str">
        <f t="shared" si="8"/>
        <v>WY1000N0</v>
      </c>
      <c r="D160" t="s">
        <v>56</v>
      </c>
      <c r="E160">
        <v>0</v>
      </c>
      <c r="F160" s="1" t="s">
        <v>64</v>
      </c>
      <c r="G160">
        <v>7400</v>
      </c>
      <c r="H160">
        <v>300</v>
      </c>
      <c r="I160">
        <v>2501000</v>
      </c>
      <c r="J160">
        <v>3985900</v>
      </c>
      <c r="K160"/>
      <c r="L160"/>
    </row>
    <row r="161" spans="1:12" x14ac:dyDescent="0.35">
      <c r="A161" t="str">
        <f t="shared" si="6"/>
        <v>ALW</v>
      </c>
      <c r="B161" t="str">
        <f t="shared" si="7"/>
        <v>AL1000W</v>
      </c>
      <c r="C161" t="str">
        <f t="shared" si="8"/>
        <v>AL1000W0</v>
      </c>
      <c r="D161" t="s">
        <v>5</v>
      </c>
      <c r="E161">
        <v>0</v>
      </c>
      <c r="F161" t="s">
        <v>59</v>
      </c>
      <c r="G161">
        <v>27400</v>
      </c>
      <c r="H161">
        <v>1700</v>
      </c>
      <c r="I161">
        <v>14576100</v>
      </c>
      <c r="J161">
        <v>28857500</v>
      </c>
      <c r="K161"/>
      <c r="L161"/>
    </row>
    <row r="162" spans="1:12" x14ac:dyDescent="0.35">
      <c r="A162" t="str">
        <f t="shared" si="6"/>
        <v>AKW</v>
      </c>
      <c r="B162" t="str">
        <f t="shared" si="7"/>
        <v>AK1000W</v>
      </c>
      <c r="C162" t="str">
        <f t="shared" si="8"/>
        <v>AK1000W0</v>
      </c>
      <c r="D162" t="s">
        <v>7</v>
      </c>
      <c r="E162">
        <v>0</v>
      </c>
      <c r="F162" t="s">
        <v>59</v>
      </c>
      <c r="G162">
        <v>2900</v>
      </c>
      <c r="H162">
        <v>200</v>
      </c>
      <c r="I162">
        <v>1649100</v>
      </c>
      <c r="J162">
        <v>2709300</v>
      </c>
      <c r="K162"/>
      <c r="L162"/>
    </row>
    <row r="163" spans="1:12" x14ac:dyDescent="0.35">
      <c r="A163" t="str">
        <f t="shared" si="6"/>
        <v>AZW</v>
      </c>
      <c r="B163" t="str">
        <f t="shared" si="7"/>
        <v>AZ1000W</v>
      </c>
      <c r="C163" t="str">
        <f t="shared" si="8"/>
        <v>AZ1000W0</v>
      </c>
      <c r="D163" t="s">
        <v>8</v>
      </c>
      <c r="E163">
        <v>0</v>
      </c>
      <c r="F163" t="s">
        <v>59</v>
      </c>
      <c r="G163">
        <v>27300</v>
      </c>
      <c r="H163">
        <v>2200</v>
      </c>
      <c r="I163">
        <v>17885700</v>
      </c>
      <c r="J163">
        <v>28910400</v>
      </c>
      <c r="K163"/>
      <c r="L163"/>
    </row>
    <row r="164" spans="1:12" x14ac:dyDescent="0.35">
      <c r="A164" t="str">
        <f t="shared" si="6"/>
        <v>ARW</v>
      </c>
      <c r="B164" t="str">
        <f t="shared" si="7"/>
        <v>AR1000W</v>
      </c>
      <c r="C164" t="str">
        <f t="shared" si="8"/>
        <v>AR1000W0</v>
      </c>
      <c r="D164" t="s">
        <v>9</v>
      </c>
      <c r="E164">
        <v>0</v>
      </c>
      <c r="F164" t="s">
        <v>59</v>
      </c>
      <c r="G164">
        <v>10500</v>
      </c>
      <c r="H164">
        <v>800</v>
      </c>
      <c r="I164">
        <v>7140300</v>
      </c>
      <c r="J164">
        <v>11946300</v>
      </c>
      <c r="K164"/>
      <c r="L164"/>
    </row>
    <row r="165" spans="1:12" x14ac:dyDescent="0.35">
      <c r="A165" t="str">
        <f t="shared" si="6"/>
        <v>CAW</v>
      </c>
      <c r="B165" t="str">
        <f t="shared" si="7"/>
        <v>CA1000W</v>
      </c>
      <c r="C165" t="str">
        <f t="shared" si="8"/>
        <v>CA1000W1</v>
      </c>
      <c r="D165" t="s">
        <v>10</v>
      </c>
      <c r="E165">
        <v>1</v>
      </c>
      <c r="F165" s="1" t="s">
        <v>59</v>
      </c>
      <c r="G165">
        <v>69100</v>
      </c>
      <c r="H165">
        <v>4100</v>
      </c>
      <c r="I165">
        <v>34861400</v>
      </c>
      <c r="J165">
        <v>57338000</v>
      </c>
      <c r="K165"/>
      <c r="L165"/>
    </row>
    <row r="166" spans="1:12" x14ac:dyDescent="0.35">
      <c r="A166" t="str">
        <f t="shared" si="6"/>
        <v>CAW</v>
      </c>
      <c r="B166" t="str">
        <f t="shared" si="7"/>
        <v>CA1000W</v>
      </c>
      <c r="C166" t="str">
        <f t="shared" si="8"/>
        <v>CA1000W2</v>
      </c>
      <c r="D166" t="s">
        <v>10</v>
      </c>
      <c r="E166">
        <v>2</v>
      </c>
      <c r="F166" s="1" t="s">
        <v>59</v>
      </c>
      <c r="G166">
        <v>84500</v>
      </c>
      <c r="H166">
        <v>5000</v>
      </c>
      <c r="I166">
        <v>42213800</v>
      </c>
      <c r="J166">
        <v>71516400</v>
      </c>
      <c r="K166"/>
      <c r="L166"/>
    </row>
    <row r="167" spans="1:12" x14ac:dyDescent="0.35">
      <c r="A167" t="str">
        <f t="shared" si="6"/>
        <v>COW</v>
      </c>
      <c r="B167" t="str">
        <f t="shared" si="7"/>
        <v>CO1000W</v>
      </c>
      <c r="C167" t="str">
        <f t="shared" si="8"/>
        <v>CO1000W0</v>
      </c>
      <c r="D167" t="s">
        <v>11</v>
      </c>
      <c r="E167">
        <v>0</v>
      </c>
      <c r="F167" t="s">
        <v>59</v>
      </c>
      <c r="G167">
        <v>23600</v>
      </c>
      <c r="H167">
        <v>700</v>
      </c>
      <c r="I167">
        <v>6300700</v>
      </c>
      <c r="J167">
        <v>9881700</v>
      </c>
      <c r="K167"/>
      <c r="L167"/>
    </row>
    <row r="168" spans="1:12" x14ac:dyDescent="0.35">
      <c r="A168" t="str">
        <f t="shared" si="6"/>
        <v>CTW</v>
      </c>
      <c r="B168" t="str">
        <f t="shared" si="7"/>
        <v>CT1000W</v>
      </c>
      <c r="C168" t="str">
        <f t="shared" si="8"/>
        <v>CT1000W0</v>
      </c>
      <c r="D168" t="s">
        <v>12</v>
      </c>
      <c r="E168">
        <v>0</v>
      </c>
      <c r="F168" t="s">
        <v>59</v>
      </c>
      <c r="G168">
        <v>21200</v>
      </c>
      <c r="H168">
        <v>1100</v>
      </c>
      <c r="I168">
        <v>9348700</v>
      </c>
      <c r="J168">
        <v>15410100</v>
      </c>
      <c r="K168"/>
      <c r="L168"/>
    </row>
    <row r="169" spans="1:12" x14ac:dyDescent="0.35">
      <c r="A169" t="str">
        <f t="shared" si="6"/>
        <v>DEW</v>
      </c>
      <c r="B169" t="str">
        <f t="shared" si="7"/>
        <v>DE1000W</v>
      </c>
      <c r="C169" t="str">
        <f t="shared" si="8"/>
        <v>DE1000W0</v>
      </c>
      <c r="D169" t="s">
        <v>13</v>
      </c>
      <c r="E169">
        <v>0</v>
      </c>
      <c r="F169" t="s">
        <v>59</v>
      </c>
      <c r="G169">
        <v>4600</v>
      </c>
      <c r="H169">
        <v>300</v>
      </c>
      <c r="I169">
        <v>2389100</v>
      </c>
      <c r="J169">
        <v>4024900</v>
      </c>
      <c r="K169"/>
      <c r="L169"/>
    </row>
    <row r="170" spans="1:12" x14ac:dyDescent="0.35">
      <c r="A170" t="str">
        <f t="shared" si="6"/>
        <v>DCW</v>
      </c>
      <c r="B170" t="str">
        <f t="shared" si="7"/>
        <v>DC1000W</v>
      </c>
      <c r="C170" t="str">
        <f t="shared" si="8"/>
        <v>DC1000W0</v>
      </c>
      <c r="D170" t="s">
        <v>14</v>
      </c>
      <c r="E170">
        <v>0</v>
      </c>
      <c r="F170" t="s">
        <v>59</v>
      </c>
      <c r="G170">
        <v>2400</v>
      </c>
      <c r="H170">
        <v>200</v>
      </c>
      <c r="I170">
        <v>1693400</v>
      </c>
      <c r="J170">
        <v>2780500</v>
      </c>
      <c r="K170"/>
      <c r="L170"/>
    </row>
    <row r="171" spans="1:12" x14ac:dyDescent="0.35">
      <c r="A171" t="str">
        <f t="shared" si="6"/>
        <v>FLW</v>
      </c>
      <c r="B171" t="str">
        <f t="shared" si="7"/>
        <v>FL1000W</v>
      </c>
      <c r="C171" t="str">
        <f t="shared" si="8"/>
        <v>FL1000W0</v>
      </c>
      <c r="D171" t="s">
        <v>15</v>
      </c>
      <c r="E171">
        <v>0</v>
      </c>
      <c r="F171" t="s">
        <v>59</v>
      </c>
      <c r="G171">
        <v>73600</v>
      </c>
      <c r="H171">
        <v>4500</v>
      </c>
      <c r="I171">
        <v>38974100</v>
      </c>
      <c r="J171">
        <v>67678700</v>
      </c>
      <c r="K171"/>
      <c r="L171"/>
    </row>
    <row r="172" spans="1:12" x14ac:dyDescent="0.35">
      <c r="A172" t="str">
        <f t="shared" si="6"/>
        <v>GAW</v>
      </c>
      <c r="B172" t="str">
        <f t="shared" si="7"/>
        <v>GA1000W</v>
      </c>
      <c r="C172" t="str">
        <f t="shared" si="8"/>
        <v>GA1000W0</v>
      </c>
      <c r="D172" t="s">
        <v>16</v>
      </c>
      <c r="E172">
        <v>0</v>
      </c>
      <c r="F172" t="s">
        <v>59</v>
      </c>
      <c r="G172">
        <v>40000</v>
      </c>
      <c r="H172">
        <v>2200</v>
      </c>
      <c r="I172">
        <v>19218900</v>
      </c>
      <c r="J172">
        <v>32968800</v>
      </c>
      <c r="K172"/>
      <c r="L172"/>
    </row>
    <row r="173" spans="1:12" x14ac:dyDescent="0.35">
      <c r="A173" t="str">
        <f t="shared" si="6"/>
        <v>HIW</v>
      </c>
      <c r="B173" t="str">
        <f t="shared" si="7"/>
        <v>HI1000W</v>
      </c>
      <c r="C173" t="str">
        <f t="shared" si="8"/>
        <v>HI1000W0</v>
      </c>
      <c r="D173" t="s">
        <v>17</v>
      </c>
      <c r="E173">
        <v>0</v>
      </c>
      <c r="F173" t="s">
        <v>59</v>
      </c>
      <c r="G173">
        <v>2800</v>
      </c>
      <c r="H173">
        <v>200</v>
      </c>
      <c r="I173">
        <v>1738100</v>
      </c>
      <c r="J173">
        <v>2962100</v>
      </c>
      <c r="K173"/>
      <c r="L173"/>
    </row>
    <row r="174" spans="1:12" x14ac:dyDescent="0.35">
      <c r="A174" t="str">
        <f t="shared" si="6"/>
        <v>IDW</v>
      </c>
      <c r="B174" t="str">
        <f t="shared" si="7"/>
        <v>ID1000W</v>
      </c>
      <c r="C174" t="str">
        <f t="shared" si="8"/>
        <v>ID1000W0</v>
      </c>
      <c r="D174" t="s">
        <v>18</v>
      </c>
      <c r="E174">
        <v>0</v>
      </c>
      <c r="F174" t="s">
        <v>59</v>
      </c>
      <c r="G174">
        <v>7200</v>
      </c>
      <c r="H174">
        <v>500</v>
      </c>
      <c r="I174">
        <v>4201700</v>
      </c>
      <c r="J174">
        <v>7411000</v>
      </c>
      <c r="K174"/>
      <c r="L174"/>
    </row>
    <row r="175" spans="1:12" x14ac:dyDescent="0.35">
      <c r="A175" t="str">
        <f t="shared" si="6"/>
        <v>ILW</v>
      </c>
      <c r="B175" t="str">
        <f t="shared" si="7"/>
        <v>IL1000W</v>
      </c>
      <c r="C175" t="str">
        <f t="shared" si="8"/>
        <v>IL1000W0</v>
      </c>
      <c r="D175" t="s">
        <v>19</v>
      </c>
      <c r="E175">
        <v>0</v>
      </c>
      <c r="F175" t="s">
        <v>59</v>
      </c>
      <c r="G175">
        <v>48500</v>
      </c>
      <c r="H175">
        <v>2800</v>
      </c>
      <c r="I175">
        <v>21822300</v>
      </c>
      <c r="J175">
        <v>38615100</v>
      </c>
      <c r="K175"/>
      <c r="L175"/>
    </row>
    <row r="176" spans="1:12" x14ac:dyDescent="0.35">
      <c r="A176" t="str">
        <f t="shared" si="6"/>
        <v>INW</v>
      </c>
      <c r="B176" t="str">
        <f t="shared" si="7"/>
        <v>IN1000W</v>
      </c>
      <c r="C176" t="str">
        <f t="shared" si="8"/>
        <v>IN1000W0</v>
      </c>
      <c r="D176" t="s">
        <v>20</v>
      </c>
      <c r="E176">
        <v>0</v>
      </c>
      <c r="F176" t="s">
        <v>59</v>
      </c>
      <c r="G176">
        <v>30700</v>
      </c>
      <c r="H176">
        <v>1500</v>
      </c>
      <c r="I176">
        <v>13404300</v>
      </c>
      <c r="J176">
        <v>20434900</v>
      </c>
      <c r="K176"/>
      <c r="L176"/>
    </row>
    <row r="177" spans="1:12" x14ac:dyDescent="0.35">
      <c r="A177" t="str">
        <f t="shared" si="6"/>
        <v>IAW</v>
      </c>
      <c r="B177" t="str">
        <f t="shared" si="7"/>
        <v>IA1000W</v>
      </c>
      <c r="C177" t="str">
        <f t="shared" si="8"/>
        <v>IA1000W0</v>
      </c>
      <c r="D177" t="s">
        <v>21</v>
      </c>
      <c r="E177">
        <v>0</v>
      </c>
      <c r="F177" t="s">
        <v>59</v>
      </c>
      <c r="G177">
        <v>7900</v>
      </c>
      <c r="H177">
        <v>400</v>
      </c>
      <c r="I177">
        <v>3422900</v>
      </c>
      <c r="J177">
        <v>6007600</v>
      </c>
      <c r="K177"/>
      <c r="L177"/>
    </row>
    <row r="178" spans="1:12" x14ac:dyDescent="0.35">
      <c r="A178" t="str">
        <f t="shared" si="6"/>
        <v>KSW</v>
      </c>
      <c r="B178" t="str">
        <f t="shared" si="7"/>
        <v>KS1000W</v>
      </c>
      <c r="C178" t="str">
        <f t="shared" si="8"/>
        <v>KS1000W0</v>
      </c>
      <c r="D178" t="s">
        <v>22</v>
      </c>
      <c r="E178">
        <v>0</v>
      </c>
      <c r="F178" t="s">
        <v>59</v>
      </c>
      <c r="G178">
        <v>11400</v>
      </c>
      <c r="H178">
        <v>700</v>
      </c>
      <c r="I178">
        <v>6047300</v>
      </c>
      <c r="J178">
        <v>9784900</v>
      </c>
      <c r="K178"/>
      <c r="L178"/>
    </row>
    <row r="179" spans="1:12" x14ac:dyDescent="0.35">
      <c r="A179" t="str">
        <f t="shared" si="6"/>
        <v>KYW</v>
      </c>
      <c r="B179" t="str">
        <f t="shared" si="7"/>
        <v>KY1000W</v>
      </c>
      <c r="C179" t="str">
        <f t="shared" si="8"/>
        <v>KY1000W0</v>
      </c>
      <c r="D179" t="s">
        <v>23</v>
      </c>
      <c r="E179">
        <v>0</v>
      </c>
      <c r="F179" t="s">
        <v>59</v>
      </c>
      <c r="G179">
        <v>17300</v>
      </c>
      <c r="H179">
        <v>900</v>
      </c>
      <c r="I179">
        <v>7987000</v>
      </c>
      <c r="J179">
        <v>13795400</v>
      </c>
      <c r="K179"/>
      <c r="L179"/>
    </row>
    <row r="180" spans="1:12" x14ac:dyDescent="0.35">
      <c r="A180" t="str">
        <f t="shared" si="6"/>
        <v>LAW</v>
      </c>
      <c r="B180" t="str">
        <f t="shared" si="7"/>
        <v>LA1000W</v>
      </c>
      <c r="C180" t="str">
        <f t="shared" si="8"/>
        <v>LA1000W0</v>
      </c>
      <c r="D180" t="s">
        <v>24</v>
      </c>
      <c r="E180">
        <v>0</v>
      </c>
      <c r="F180" t="s">
        <v>59</v>
      </c>
      <c r="G180">
        <v>17700</v>
      </c>
      <c r="H180">
        <v>1300</v>
      </c>
      <c r="I180">
        <v>10127400</v>
      </c>
      <c r="J180">
        <v>17378300</v>
      </c>
      <c r="K180"/>
      <c r="L180"/>
    </row>
    <row r="181" spans="1:12" x14ac:dyDescent="0.35">
      <c r="A181" t="str">
        <f t="shared" si="6"/>
        <v>MEW</v>
      </c>
      <c r="B181" t="str">
        <f t="shared" si="7"/>
        <v>ME1000W</v>
      </c>
      <c r="C181" t="str">
        <f t="shared" si="8"/>
        <v>ME1000W0</v>
      </c>
      <c r="D181" t="s">
        <v>25</v>
      </c>
      <c r="E181">
        <v>0</v>
      </c>
      <c r="F181" t="s">
        <v>59</v>
      </c>
      <c r="G181">
        <v>7500</v>
      </c>
      <c r="H181">
        <v>400</v>
      </c>
      <c r="I181">
        <v>3305800</v>
      </c>
      <c r="J181">
        <v>5462900</v>
      </c>
      <c r="K181"/>
      <c r="L181"/>
    </row>
    <row r="182" spans="1:12" x14ac:dyDescent="0.35">
      <c r="A182" t="str">
        <f t="shared" si="6"/>
        <v>MDW</v>
      </c>
      <c r="B182" t="str">
        <f t="shared" si="7"/>
        <v>MD1000W</v>
      </c>
      <c r="C182" t="str">
        <f t="shared" si="8"/>
        <v>MD1000W0</v>
      </c>
      <c r="D182" t="s">
        <v>26</v>
      </c>
      <c r="E182">
        <v>0</v>
      </c>
      <c r="F182" t="s">
        <v>59</v>
      </c>
      <c r="G182">
        <v>17600</v>
      </c>
      <c r="H182">
        <v>800</v>
      </c>
      <c r="I182">
        <v>6358000</v>
      </c>
      <c r="J182">
        <v>10476300</v>
      </c>
      <c r="K182"/>
      <c r="L182"/>
    </row>
    <row r="183" spans="1:12" x14ac:dyDescent="0.35">
      <c r="A183" t="str">
        <f t="shared" si="6"/>
        <v>MAW</v>
      </c>
      <c r="B183" t="str">
        <f t="shared" si="7"/>
        <v>MA1000W</v>
      </c>
      <c r="C183" t="str">
        <f t="shared" si="8"/>
        <v>MA1000W0</v>
      </c>
      <c r="D183" t="s">
        <v>27</v>
      </c>
      <c r="E183">
        <v>0</v>
      </c>
      <c r="F183" t="s">
        <v>59</v>
      </c>
      <c r="G183">
        <v>30800</v>
      </c>
      <c r="H183">
        <v>2200</v>
      </c>
      <c r="I183">
        <v>19806300</v>
      </c>
      <c r="J183">
        <v>32018100</v>
      </c>
      <c r="K183"/>
      <c r="L183"/>
    </row>
    <row r="184" spans="1:12" x14ac:dyDescent="0.35">
      <c r="A184" t="str">
        <f t="shared" si="6"/>
        <v>MIW</v>
      </c>
      <c r="B184" t="str">
        <f t="shared" si="7"/>
        <v>MI1000W</v>
      </c>
      <c r="C184" t="str">
        <f t="shared" si="8"/>
        <v>MI1000W0</v>
      </c>
      <c r="D184" t="s">
        <v>28</v>
      </c>
      <c r="E184">
        <v>0</v>
      </c>
      <c r="F184" t="s">
        <v>59</v>
      </c>
      <c r="G184">
        <v>28800</v>
      </c>
      <c r="H184">
        <v>1900</v>
      </c>
      <c r="I184">
        <v>15563800</v>
      </c>
      <c r="J184">
        <v>24916900</v>
      </c>
      <c r="K184"/>
      <c r="L184"/>
    </row>
    <row r="185" spans="1:12" x14ac:dyDescent="0.35">
      <c r="A185" t="str">
        <f t="shared" si="6"/>
        <v>MNW</v>
      </c>
      <c r="B185" t="str">
        <f t="shared" si="7"/>
        <v>MN1000W</v>
      </c>
      <c r="C185" t="str">
        <f t="shared" si="8"/>
        <v>MN1000W0</v>
      </c>
      <c r="D185" t="s">
        <v>29</v>
      </c>
      <c r="E185">
        <v>0</v>
      </c>
      <c r="F185" t="s">
        <v>59</v>
      </c>
      <c r="G185">
        <v>24100</v>
      </c>
      <c r="H185">
        <v>1100</v>
      </c>
      <c r="I185">
        <v>9304700</v>
      </c>
      <c r="J185">
        <v>14775900</v>
      </c>
      <c r="K185"/>
      <c r="L185"/>
    </row>
    <row r="186" spans="1:12" x14ac:dyDescent="0.35">
      <c r="A186" t="str">
        <f t="shared" si="6"/>
        <v>MSW</v>
      </c>
      <c r="B186" t="str">
        <f t="shared" si="7"/>
        <v>MS1000W</v>
      </c>
      <c r="C186" t="str">
        <f t="shared" si="8"/>
        <v>MS1000W0</v>
      </c>
      <c r="D186" t="s">
        <v>30</v>
      </c>
      <c r="E186">
        <v>0</v>
      </c>
      <c r="F186" t="s">
        <v>59</v>
      </c>
      <c r="G186">
        <v>12800</v>
      </c>
      <c r="H186">
        <v>800</v>
      </c>
      <c r="I186">
        <v>7070500</v>
      </c>
      <c r="J186">
        <v>11850000</v>
      </c>
      <c r="K186"/>
      <c r="L186"/>
    </row>
    <row r="187" spans="1:12" x14ac:dyDescent="0.35">
      <c r="A187" t="str">
        <f t="shared" si="6"/>
        <v>MOW</v>
      </c>
      <c r="B187" t="str">
        <f t="shared" si="7"/>
        <v>MO1000W</v>
      </c>
      <c r="C187" t="str">
        <f t="shared" si="8"/>
        <v>MO1000W0</v>
      </c>
      <c r="D187" t="s">
        <v>31</v>
      </c>
      <c r="E187">
        <v>0</v>
      </c>
      <c r="F187" t="s">
        <v>59</v>
      </c>
      <c r="G187">
        <v>24600</v>
      </c>
      <c r="H187">
        <v>1400</v>
      </c>
      <c r="I187">
        <v>11561800</v>
      </c>
      <c r="J187">
        <v>19384000</v>
      </c>
      <c r="K187"/>
      <c r="L187"/>
    </row>
    <row r="188" spans="1:12" x14ac:dyDescent="0.35">
      <c r="A188" t="str">
        <f t="shared" si="6"/>
        <v>MTW</v>
      </c>
      <c r="B188" t="str">
        <f t="shared" si="7"/>
        <v>MT1000W</v>
      </c>
      <c r="C188" t="str">
        <f t="shared" si="8"/>
        <v>MT1000W0</v>
      </c>
      <c r="D188" t="s">
        <v>32</v>
      </c>
      <c r="E188">
        <v>0</v>
      </c>
      <c r="F188" t="s">
        <v>59</v>
      </c>
      <c r="G188">
        <v>4300</v>
      </c>
      <c r="H188">
        <v>300</v>
      </c>
      <c r="I188">
        <v>2456800</v>
      </c>
      <c r="J188">
        <v>4253600</v>
      </c>
      <c r="K188"/>
      <c r="L188"/>
    </row>
    <row r="189" spans="1:12" x14ac:dyDescent="0.35">
      <c r="A189" t="str">
        <f t="shared" si="6"/>
        <v>NEW</v>
      </c>
      <c r="B189" t="str">
        <f t="shared" si="7"/>
        <v>NE1000W</v>
      </c>
      <c r="C189" t="str">
        <f t="shared" si="8"/>
        <v>NE1000W0</v>
      </c>
      <c r="D189" t="s">
        <v>33</v>
      </c>
      <c r="E189">
        <v>0</v>
      </c>
      <c r="F189" t="s">
        <v>59</v>
      </c>
      <c r="G189">
        <v>8600</v>
      </c>
      <c r="H189">
        <v>500</v>
      </c>
      <c r="I189">
        <v>4511200</v>
      </c>
      <c r="J189">
        <v>8791400</v>
      </c>
      <c r="K189"/>
      <c r="L189"/>
    </row>
    <row r="190" spans="1:12" x14ac:dyDescent="0.35">
      <c r="A190" t="str">
        <f t="shared" si="6"/>
        <v>NVW</v>
      </c>
      <c r="B190" t="str">
        <f t="shared" si="7"/>
        <v>NV1000W</v>
      </c>
      <c r="C190" t="str">
        <f t="shared" si="8"/>
        <v>NV1000W0</v>
      </c>
      <c r="D190" t="s">
        <v>34</v>
      </c>
      <c r="E190">
        <v>0</v>
      </c>
      <c r="F190" t="s">
        <v>59</v>
      </c>
      <c r="G190">
        <v>10300</v>
      </c>
      <c r="H190">
        <v>700</v>
      </c>
      <c r="I190">
        <v>5925900</v>
      </c>
      <c r="J190">
        <v>9426900</v>
      </c>
      <c r="K190"/>
      <c r="L190"/>
    </row>
    <row r="191" spans="1:12" x14ac:dyDescent="0.35">
      <c r="A191" t="str">
        <f t="shared" si="6"/>
        <v>NHW</v>
      </c>
      <c r="B191" t="str">
        <f t="shared" si="7"/>
        <v>NH1000W</v>
      </c>
      <c r="C191" t="str">
        <f t="shared" si="8"/>
        <v>NH1000W0</v>
      </c>
      <c r="D191" t="s">
        <v>35</v>
      </c>
      <c r="E191">
        <v>0</v>
      </c>
      <c r="F191" t="s">
        <v>59</v>
      </c>
      <c r="G191">
        <v>5200</v>
      </c>
      <c r="H191">
        <v>300</v>
      </c>
      <c r="I191">
        <v>2706200</v>
      </c>
      <c r="J191">
        <v>4359500</v>
      </c>
      <c r="K191"/>
      <c r="L191"/>
    </row>
    <row r="192" spans="1:12" x14ac:dyDescent="0.35">
      <c r="A192" t="str">
        <f t="shared" si="6"/>
        <v>NJW</v>
      </c>
      <c r="B192" t="str">
        <f t="shared" si="7"/>
        <v>NJ1000W</v>
      </c>
      <c r="C192" t="str">
        <f t="shared" si="8"/>
        <v>NJ1000W0</v>
      </c>
      <c r="D192" t="s">
        <v>36</v>
      </c>
      <c r="E192">
        <v>0</v>
      </c>
      <c r="F192" t="s">
        <v>59</v>
      </c>
      <c r="G192">
        <v>32900</v>
      </c>
      <c r="H192">
        <v>2000</v>
      </c>
      <c r="I192">
        <v>15851200</v>
      </c>
      <c r="J192">
        <v>25876900</v>
      </c>
      <c r="K192"/>
      <c r="L192"/>
    </row>
    <row r="193" spans="1:12" x14ac:dyDescent="0.35">
      <c r="A193" t="str">
        <f t="shared" si="6"/>
        <v>NMW</v>
      </c>
      <c r="B193" t="str">
        <f t="shared" si="7"/>
        <v>NM1000W</v>
      </c>
      <c r="C193" t="str">
        <f t="shared" si="8"/>
        <v>NM1000W0</v>
      </c>
      <c r="D193" t="s">
        <v>37</v>
      </c>
      <c r="E193">
        <v>0</v>
      </c>
      <c r="F193" t="s">
        <v>59</v>
      </c>
      <c r="G193">
        <v>10500</v>
      </c>
      <c r="H193">
        <v>700</v>
      </c>
      <c r="I193">
        <v>6044700</v>
      </c>
      <c r="J193">
        <v>10161200</v>
      </c>
      <c r="K193"/>
      <c r="L193"/>
    </row>
    <row r="194" spans="1:12" x14ac:dyDescent="0.35">
      <c r="A194" t="str">
        <f t="shared" si="6"/>
        <v>NYW</v>
      </c>
      <c r="B194" t="str">
        <f t="shared" si="7"/>
        <v>NY1000W</v>
      </c>
      <c r="C194" t="str">
        <f t="shared" si="8"/>
        <v>NY1000W0</v>
      </c>
      <c r="D194" t="s">
        <v>38</v>
      </c>
      <c r="E194">
        <v>0</v>
      </c>
      <c r="F194" t="s">
        <v>59</v>
      </c>
      <c r="G194">
        <v>90500</v>
      </c>
      <c r="H194">
        <v>4900</v>
      </c>
      <c r="I194">
        <v>39040100</v>
      </c>
      <c r="J194">
        <v>67202500</v>
      </c>
      <c r="K194"/>
      <c r="L194"/>
    </row>
    <row r="195" spans="1:12" x14ac:dyDescent="0.35">
      <c r="A195" t="str">
        <f t="shared" ref="A195:A213" si="9">D195&amp;RIGHT(F195,1)</f>
        <v>NCW</v>
      </c>
      <c r="B195" t="str">
        <f t="shared" ref="B195:B213" si="10">D195&amp;F195</f>
        <v>NC1000W</v>
      </c>
      <c r="C195" t="str">
        <f t="shared" ref="C195:C213" si="11">D195&amp;F195&amp;E195</f>
        <v>NC1000W0</v>
      </c>
      <c r="D195" t="s">
        <v>39</v>
      </c>
      <c r="E195">
        <v>0</v>
      </c>
      <c r="F195" t="s">
        <v>59</v>
      </c>
      <c r="G195">
        <v>32700</v>
      </c>
      <c r="H195">
        <v>1900</v>
      </c>
      <c r="I195">
        <v>17262000</v>
      </c>
      <c r="J195">
        <v>28485100</v>
      </c>
      <c r="K195"/>
      <c r="L195"/>
    </row>
    <row r="196" spans="1:12" x14ac:dyDescent="0.35">
      <c r="A196" t="str">
        <f t="shared" si="9"/>
        <v>NDW</v>
      </c>
      <c r="B196" t="str">
        <f t="shared" si="10"/>
        <v>ND1000W</v>
      </c>
      <c r="C196" t="str">
        <f t="shared" si="11"/>
        <v>ND1000W0</v>
      </c>
      <c r="D196" t="s">
        <v>40</v>
      </c>
      <c r="E196">
        <v>0</v>
      </c>
      <c r="F196" t="s">
        <v>59</v>
      </c>
      <c r="G196">
        <v>3600</v>
      </c>
      <c r="H196">
        <v>200</v>
      </c>
      <c r="I196">
        <v>1868500</v>
      </c>
      <c r="J196">
        <v>2922200</v>
      </c>
      <c r="K196"/>
      <c r="L196"/>
    </row>
    <row r="197" spans="1:12" x14ac:dyDescent="0.35">
      <c r="A197" t="str">
        <f t="shared" si="9"/>
        <v>OHW</v>
      </c>
      <c r="B197" t="str">
        <f t="shared" si="10"/>
        <v>OH1000W</v>
      </c>
      <c r="C197" t="str">
        <f t="shared" si="11"/>
        <v>OH1000W0</v>
      </c>
      <c r="D197" t="s">
        <v>41</v>
      </c>
      <c r="E197">
        <v>0</v>
      </c>
      <c r="F197" t="s">
        <v>59</v>
      </c>
      <c r="G197">
        <v>60600</v>
      </c>
      <c r="H197">
        <v>2700</v>
      </c>
      <c r="I197">
        <v>23641000</v>
      </c>
      <c r="J197">
        <v>38344600</v>
      </c>
      <c r="K197"/>
      <c r="L197"/>
    </row>
    <row r="198" spans="1:12" x14ac:dyDescent="0.35">
      <c r="A198" t="str">
        <f t="shared" si="9"/>
        <v>OKW</v>
      </c>
      <c r="B198" t="str">
        <f t="shared" si="10"/>
        <v>OK1000W</v>
      </c>
      <c r="C198" t="str">
        <f t="shared" si="11"/>
        <v>OK1000W0</v>
      </c>
      <c r="D198" t="s">
        <v>42</v>
      </c>
      <c r="E198">
        <v>0</v>
      </c>
      <c r="F198" t="s">
        <v>59</v>
      </c>
      <c r="G198">
        <v>14400</v>
      </c>
      <c r="H198">
        <v>800</v>
      </c>
      <c r="I198">
        <v>7156000</v>
      </c>
      <c r="J198">
        <v>11207200</v>
      </c>
      <c r="K198"/>
      <c r="L198"/>
    </row>
    <row r="199" spans="1:12" x14ac:dyDescent="0.35">
      <c r="A199" t="str">
        <f t="shared" si="9"/>
        <v>ORW</v>
      </c>
      <c r="B199" t="str">
        <f t="shared" si="10"/>
        <v>OR1000W</v>
      </c>
      <c r="C199" t="str">
        <f t="shared" si="11"/>
        <v>OR1000W0</v>
      </c>
      <c r="D199" t="s">
        <v>43</v>
      </c>
      <c r="E199">
        <v>0</v>
      </c>
      <c r="F199" t="s">
        <v>59</v>
      </c>
      <c r="G199">
        <v>15500</v>
      </c>
      <c r="H199">
        <v>1000</v>
      </c>
      <c r="I199">
        <v>8635200</v>
      </c>
      <c r="J199">
        <v>14240700</v>
      </c>
      <c r="K199"/>
      <c r="L199"/>
    </row>
    <row r="200" spans="1:12" x14ac:dyDescent="0.35">
      <c r="A200" t="str">
        <f t="shared" si="9"/>
        <v>PAW</v>
      </c>
      <c r="B200" t="str">
        <f t="shared" si="10"/>
        <v>PA1000W</v>
      </c>
      <c r="C200" t="str">
        <f t="shared" si="11"/>
        <v>PA1000W0</v>
      </c>
      <c r="D200" t="s">
        <v>44</v>
      </c>
      <c r="E200">
        <v>0</v>
      </c>
      <c r="F200" t="s">
        <v>59</v>
      </c>
      <c r="G200">
        <v>47100</v>
      </c>
      <c r="H200">
        <v>3400</v>
      </c>
      <c r="I200">
        <v>26920700</v>
      </c>
      <c r="J200">
        <v>52006500</v>
      </c>
      <c r="K200"/>
      <c r="L200"/>
    </row>
    <row r="201" spans="1:12" x14ac:dyDescent="0.35">
      <c r="A201" t="str">
        <f t="shared" si="9"/>
        <v>RIW</v>
      </c>
      <c r="B201" t="str">
        <f t="shared" si="10"/>
        <v>RI1000W</v>
      </c>
      <c r="C201" t="str">
        <f t="shared" si="11"/>
        <v>RI1000W0</v>
      </c>
      <c r="D201" t="s">
        <v>45</v>
      </c>
      <c r="E201">
        <v>0</v>
      </c>
      <c r="F201" t="s">
        <v>59</v>
      </c>
      <c r="G201">
        <v>3300</v>
      </c>
      <c r="H201">
        <v>200</v>
      </c>
      <c r="I201">
        <v>1743800</v>
      </c>
      <c r="J201">
        <v>2844700</v>
      </c>
      <c r="K201"/>
      <c r="L201"/>
    </row>
    <row r="202" spans="1:12" x14ac:dyDescent="0.35">
      <c r="A202" t="str">
        <f t="shared" si="9"/>
        <v>SCW</v>
      </c>
      <c r="B202" t="str">
        <f t="shared" si="10"/>
        <v>SC1000W</v>
      </c>
      <c r="C202" t="str">
        <f t="shared" si="11"/>
        <v>SC1000W0</v>
      </c>
      <c r="D202" t="s">
        <v>46</v>
      </c>
      <c r="E202">
        <v>0</v>
      </c>
      <c r="F202" t="s">
        <v>59</v>
      </c>
      <c r="G202">
        <v>16500</v>
      </c>
      <c r="H202">
        <v>1100</v>
      </c>
      <c r="I202">
        <v>9537200</v>
      </c>
      <c r="J202">
        <v>15089300</v>
      </c>
      <c r="K202"/>
      <c r="L202"/>
    </row>
    <row r="203" spans="1:12" x14ac:dyDescent="0.35">
      <c r="A203" t="str">
        <f t="shared" si="9"/>
        <v>SDW</v>
      </c>
      <c r="B203" t="str">
        <f t="shared" si="10"/>
        <v>SD1000W</v>
      </c>
      <c r="C203" t="str">
        <f t="shared" si="11"/>
        <v>SD1000W0</v>
      </c>
      <c r="D203" t="s">
        <v>47</v>
      </c>
      <c r="E203">
        <v>0</v>
      </c>
      <c r="F203" t="s">
        <v>59</v>
      </c>
      <c r="G203">
        <v>3900</v>
      </c>
      <c r="H203">
        <v>300</v>
      </c>
      <c r="I203">
        <v>2550800</v>
      </c>
      <c r="J203">
        <v>4522200</v>
      </c>
      <c r="K203"/>
      <c r="L203"/>
    </row>
    <row r="204" spans="1:12" x14ac:dyDescent="0.35">
      <c r="A204" t="str">
        <f t="shared" si="9"/>
        <v>TNW</v>
      </c>
      <c r="B204" t="str">
        <f t="shared" si="10"/>
        <v>TN1000W</v>
      </c>
      <c r="C204" t="str">
        <f t="shared" si="11"/>
        <v>TN1000W0</v>
      </c>
      <c r="D204" t="s">
        <v>48</v>
      </c>
      <c r="E204">
        <v>0</v>
      </c>
      <c r="F204" t="s">
        <v>59</v>
      </c>
      <c r="G204">
        <v>30500</v>
      </c>
      <c r="H204">
        <v>1900</v>
      </c>
      <c r="I204">
        <v>17165600</v>
      </c>
      <c r="J204">
        <v>26998200</v>
      </c>
      <c r="K204"/>
      <c r="L204"/>
    </row>
    <row r="205" spans="1:12" x14ac:dyDescent="0.35">
      <c r="A205" t="str">
        <f t="shared" si="9"/>
        <v>TXW</v>
      </c>
      <c r="B205" t="str">
        <f t="shared" si="10"/>
        <v>TX1000W</v>
      </c>
      <c r="C205" t="str">
        <f t="shared" si="11"/>
        <v>TX1000W1</v>
      </c>
      <c r="D205" t="s">
        <v>49</v>
      </c>
      <c r="E205">
        <v>1</v>
      </c>
      <c r="F205" s="1" t="s">
        <v>59</v>
      </c>
      <c r="G205">
        <v>41500</v>
      </c>
      <c r="H205">
        <v>3400</v>
      </c>
      <c r="I205">
        <v>20723500</v>
      </c>
      <c r="J205">
        <v>34675800</v>
      </c>
    </row>
    <row r="206" spans="1:12" x14ac:dyDescent="0.35">
      <c r="A206" t="str">
        <f t="shared" si="9"/>
        <v>TXW</v>
      </c>
      <c r="B206" t="str">
        <f t="shared" si="10"/>
        <v>TX1000W</v>
      </c>
      <c r="C206" t="str">
        <f t="shared" si="11"/>
        <v>TX1000W2</v>
      </c>
      <c r="D206" t="s">
        <v>49</v>
      </c>
      <c r="E206">
        <v>2</v>
      </c>
      <c r="F206" s="1" t="s">
        <v>59</v>
      </c>
      <c r="G206">
        <v>27400</v>
      </c>
      <c r="H206">
        <v>1700</v>
      </c>
      <c r="I206">
        <v>14576100</v>
      </c>
      <c r="J206">
        <v>28857500</v>
      </c>
    </row>
    <row r="207" spans="1:12" x14ac:dyDescent="0.35">
      <c r="A207" t="str">
        <f t="shared" si="9"/>
        <v>UTW</v>
      </c>
      <c r="B207" t="str">
        <f t="shared" si="10"/>
        <v>UT1000W</v>
      </c>
      <c r="C207" t="str">
        <f t="shared" si="11"/>
        <v>UT1000W0</v>
      </c>
      <c r="D207" t="s">
        <v>50</v>
      </c>
      <c r="E207">
        <v>0</v>
      </c>
      <c r="F207" t="s">
        <v>59</v>
      </c>
      <c r="G207">
        <v>6600</v>
      </c>
      <c r="H207">
        <v>300</v>
      </c>
      <c r="I207">
        <v>2479600</v>
      </c>
      <c r="J207">
        <v>4089900</v>
      </c>
      <c r="K207"/>
      <c r="L207"/>
    </row>
    <row r="208" spans="1:12" x14ac:dyDescent="0.35">
      <c r="A208" t="str">
        <f t="shared" si="9"/>
        <v>VTW</v>
      </c>
      <c r="B208" t="str">
        <f t="shared" si="10"/>
        <v>VT1000W</v>
      </c>
      <c r="C208" t="str">
        <f t="shared" si="11"/>
        <v>VT1000W0</v>
      </c>
      <c r="D208" t="s">
        <v>51</v>
      </c>
      <c r="E208">
        <v>0</v>
      </c>
      <c r="F208" t="s">
        <v>59</v>
      </c>
      <c r="G208">
        <v>2700</v>
      </c>
      <c r="H208">
        <v>200</v>
      </c>
      <c r="I208">
        <v>1707600</v>
      </c>
      <c r="J208">
        <v>3148200</v>
      </c>
      <c r="K208"/>
      <c r="L208"/>
    </row>
    <row r="209" spans="1:12" x14ac:dyDescent="0.35">
      <c r="A209" t="str">
        <f t="shared" si="9"/>
        <v>VAW</v>
      </c>
      <c r="B209" t="str">
        <f t="shared" si="10"/>
        <v>VA1000W</v>
      </c>
      <c r="C209" t="str">
        <f t="shared" si="11"/>
        <v>VA1000W0</v>
      </c>
      <c r="D209" t="s">
        <v>52</v>
      </c>
      <c r="E209">
        <v>0</v>
      </c>
      <c r="F209" t="s">
        <v>59</v>
      </c>
      <c r="G209">
        <v>33000</v>
      </c>
      <c r="H209">
        <v>2200</v>
      </c>
      <c r="I209">
        <v>18158600</v>
      </c>
      <c r="J209">
        <v>30927400</v>
      </c>
      <c r="K209"/>
      <c r="L209"/>
    </row>
    <row r="210" spans="1:12" x14ac:dyDescent="0.35">
      <c r="A210" t="str">
        <f t="shared" si="9"/>
        <v>WAW</v>
      </c>
      <c r="B210" t="str">
        <f t="shared" si="10"/>
        <v>WA1000W</v>
      </c>
      <c r="C210" t="str">
        <f t="shared" si="11"/>
        <v>WA1000W0</v>
      </c>
      <c r="D210" t="s">
        <v>53</v>
      </c>
      <c r="E210">
        <v>0</v>
      </c>
      <c r="F210" t="s">
        <v>59</v>
      </c>
      <c r="G210">
        <v>20000</v>
      </c>
      <c r="H210">
        <v>800</v>
      </c>
      <c r="I210">
        <v>6354000</v>
      </c>
      <c r="J210">
        <v>10435700</v>
      </c>
      <c r="K210"/>
      <c r="L210"/>
    </row>
    <row r="211" spans="1:12" x14ac:dyDescent="0.35">
      <c r="A211" t="str">
        <f t="shared" si="9"/>
        <v>WVW</v>
      </c>
      <c r="B211" t="str">
        <f t="shared" si="10"/>
        <v>WV1000W</v>
      </c>
      <c r="C211" t="str">
        <f t="shared" si="11"/>
        <v>WV1000W0</v>
      </c>
      <c r="D211" t="s">
        <v>54</v>
      </c>
      <c r="E211">
        <v>0</v>
      </c>
      <c r="F211" t="s">
        <v>59</v>
      </c>
      <c r="G211">
        <v>9400</v>
      </c>
      <c r="H211">
        <v>600</v>
      </c>
      <c r="I211">
        <v>5076500</v>
      </c>
      <c r="J211">
        <v>8735200</v>
      </c>
      <c r="K211"/>
      <c r="L211"/>
    </row>
    <row r="212" spans="1:12" x14ac:dyDescent="0.35">
      <c r="A212" t="str">
        <f t="shared" si="9"/>
        <v>WIW</v>
      </c>
      <c r="B212" t="str">
        <f t="shared" si="10"/>
        <v>WI1000W</v>
      </c>
      <c r="C212" t="str">
        <f t="shared" si="11"/>
        <v>WI1000W0</v>
      </c>
      <c r="D212" t="s">
        <v>55</v>
      </c>
      <c r="E212">
        <v>0</v>
      </c>
      <c r="F212" t="s">
        <v>59</v>
      </c>
      <c r="G212">
        <v>21300</v>
      </c>
      <c r="H212">
        <v>1200</v>
      </c>
      <c r="I212">
        <v>9346900</v>
      </c>
      <c r="J212">
        <v>15413300</v>
      </c>
      <c r="K212"/>
      <c r="L212"/>
    </row>
    <row r="213" spans="1:12" x14ac:dyDescent="0.35">
      <c r="A213" t="str">
        <f t="shared" si="9"/>
        <v>WYW</v>
      </c>
      <c r="B213" t="str">
        <f t="shared" si="10"/>
        <v>WY1000W</v>
      </c>
      <c r="C213" t="str">
        <f t="shared" si="11"/>
        <v>WY1000W0</v>
      </c>
      <c r="D213" t="s">
        <v>56</v>
      </c>
      <c r="E213">
        <v>0</v>
      </c>
      <c r="F213" t="s">
        <v>59</v>
      </c>
      <c r="G213">
        <v>2600</v>
      </c>
      <c r="H213">
        <v>200</v>
      </c>
      <c r="I213">
        <v>1571200</v>
      </c>
      <c r="J213">
        <v>2367500</v>
      </c>
      <c r="K213"/>
      <c r="L213"/>
    </row>
  </sheetData>
  <autoFilter ref="D1:J213" xr:uid="{00000000-0009-0000-0000-000001000000}"/>
  <phoneticPr fontId="2"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18"/>
  <sheetViews>
    <sheetView workbookViewId="0">
      <selection activeCell="B17" sqref="B17"/>
    </sheetView>
  </sheetViews>
  <sheetFormatPr defaultRowHeight="12.75" x14ac:dyDescent="0.35"/>
  <cols>
    <col min="1" max="1" width="10.3984375" customWidth="1"/>
    <col min="2" max="2" width="10" bestFit="1" customWidth="1"/>
  </cols>
  <sheetData>
    <row r="1" spans="1:6" x14ac:dyDescent="0.35">
      <c r="A1" t="s">
        <v>88</v>
      </c>
    </row>
    <row r="2" spans="1:6" x14ac:dyDescent="0.35">
      <c r="E2" s="15" t="s">
        <v>85</v>
      </c>
    </row>
    <row r="3" spans="1:6" x14ac:dyDescent="0.35">
      <c r="A3" t="s">
        <v>93</v>
      </c>
      <c r="E3" s="15" t="s">
        <v>70</v>
      </c>
      <c r="F3" s="15" t="s">
        <v>84</v>
      </c>
    </row>
    <row r="4" spans="1:6" x14ac:dyDescent="0.35">
      <c r="E4" s="15" t="s">
        <v>49</v>
      </c>
      <c r="F4">
        <v>1</v>
      </c>
    </row>
    <row r="5" spans="1:6" x14ac:dyDescent="0.35">
      <c r="A5" t="s">
        <v>69</v>
      </c>
      <c r="F5">
        <v>2</v>
      </c>
    </row>
    <row r="6" spans="1:6" x14ac:dyDescent="0.35">
      <c r="B6" s="3" t="s">
        <v>65</v>
      </c>
      <c r="C6" s="3"/>
    </row>
    <row r="7" spans="1:6" x14ac:dyDescent="0.35">
      <c r="A7" t="s">
        <v>62</v>
      </c>
      <c r="B7" s="4" t="s">
        <v>66</v>
      </c>
      <c r="C7" s="4" t="s">
        <v>67</v>
      </c>
    </row>
    <row r="8" spans="1:6" x14ac:dyDescent="0.35">
      <c r="A8" s="1" t="s">
        <v>6</v>
      </c>
      <c r="B8" s="11">
        <f>SUM(VLOOKUP(E4&amp;A8&amp;B7&amp;F4,data!C1:J213,6,FALSE),VLOOKUP(E4&amp;A8&amp;B7&amp;F5,data!C1:J213,6,FALSE))/SUM(VLOOKUP(E4&amp;A8&amp;B7&amp;F4,data!C1:J213,5,FALSE),(VLOOKUP(E4&amp;A8&amp;B7&amp;F5,data!C1:J213,5,FALSE)))</f>
        <v>4.1901188242651655E-2</v>
      </c>
      <c r="C8" s="11">
        <f>SUM(VLOOKUP(E4&amp;A8&amp;C7&amp;F4,data!C1:J213,6,FALSE),VLOOKUP(E4&amp;A8&amp;C7&amp;F5,data!C1:J213,6,FALSE))/SUM(VLOOKUP(E4&amp;A8&amp;C7&amp;F4,data!C1:J213,5,FALSE),(VLOOKUP(E4&amp;A8&amp;C7&amp;F5,data!C1:J213,5,FALSE)))</f>
        <v>6.7873303167420809E-2</v>
      </c>
    </row>
    <row r="9" spans="1:6" x14ac:dyDescent="0.35">
      <c r="A9" s="1" t="s">
        <v>58</v>
      </c>
      <c r="B9" s="11">
        <f>SUM(VLOOKUP(E4&amp;A9&amp;B7&amp;F4,data!C1:J213,6,FALSE),VLOOKUP(E4&amp;A9&amp;B7&amp;F5,data!C1:J213,6,FALSE))/SUM(VLOOKUP(E4&amp;A9&amp;B7&amp;F4,data!C1:J213,5,FALSE),(VLOOKUP(E4&amp;A9&amp;B7&amp;F5,data!C1:J213,5,FALSE)))</f>
        <v>3.933948518698397E-2</v>
      </c>
      <c r="C9" s="11">
        <f>SUM(VLOOKUP(E4&amp;A9&amp;C7&amp;F4,data!C1:J213,6,FALSE),VLOOKUP(E4&amp;A9&amp;C7&amp;F5,data!C1:J213,6,FALSE))/SUM(VLOOKUP(E4&amp;A9&amp;C7&amp;F4,data!C1:J213,5,FALSE),(VLOOKUP(E4&amp;A9&amp;C7&amp;F5,data!C1:J213,5,FALSE)))</f>
        <v>7.4020319303338175E-2</v>
      </c>
    </row>
    <row r="13" spans="1:6" x14ac:dyDescent="0.35">
      <c r="A13" t="s">
        <v>68</v>
      </c>
    </row>
    <row r="14" spans="1:6" x14ac:dyDescent="0.35">
      <c r="B14" s="3" t="s">
        <v>65</v>
      </c>
      <c r="C14" s="3"/>
    </row>
    <row r="15" spans="1:6" x14ac:dyDescent="0.35">
      <c r="A15" t="s">
        <v>62</v>
      </c>
      <c r="B15" s="4" t="s">
        <v>66</v>
      </c>
      <c r="C15" s="4" t="s">
        <v>67</v>
      </c>
    </row>
    <row r="16" spans="1:6" x14ac:dyDescent="0.35">
      <c r="A16" s="1" t="s">
        <v>6</v>
      </c>
      <c r="B16" s="11">
        <f>SUMIF(data!B1:B213,E4&amp;A16&amp;B15,data!H1:H213)/SUMIF(data!B1:B213,E4&amp;A16&amp;B15,data!G1:G213)</f>
        <v>4.1901188242651655E-2</v>
      </c>
      <c r="C16" s="11">
        <f ca="1">SUMIF(data!B1:C213,E4&amp;A16&amp;C15,data!H1:H213)/SUMIF(data!B1:B213,E4&amp;A16&amp;C15,data!G1:G213)</f>
        <v>6.7873303167420809E-2</v>
      </c>
    </row>
    <row r="17" spans="1:3" x14ac:dyDescent="0.35">
      <c r="A17" s="1" t="s">
        <v>58</v>
      </c>
      <c r="B17" s="11">
        <f>SUMIF(data!B1:B213,E4&amp;A17&amp;B15,data!H1:H213)/SUMIF(data!B1:B213,E4&amp;A17&amp;B15,data!G1:G213)</f>
        <v>3.933948518698397E-2</v>
      </c>
      <c r="C17" s="11">
        <f ca="1">SUMIF(data!B1:C213,E4&amp;A17&amp;C15,data!H1:H213)/SUMIF(data!B1:B213,E4&amp;A17&amp;C15,data!G1:G213)</f>
        <v>7.4020319303338175E-2</v>
      </c>
    </row>
    <row r="18" spans="1:3" x14ac:dyDescent="0.35">
      <c r="B18" s="14"/>
    </row>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57"/>
  <sheetViews>
    <sheetView workbookViewId="0">
      <selection activeCell="E8" sqref="E8"/>
    </sheetView>
  </sheetViews>
  <sheetFormatPr defaultRowHeight="12.75" x14ac:dyDescent="0.35"/>
  <cols>
    <col min="2" max="2" width="2.265625" customWidth="1"/>
    <col min="3" max="3" width="10.265625" bestFit="1" customWidth="1"/>
    <col min="4" max="4" width="9.73046875" customWidth="1"/>
    <col min="5" max="5" width="17.73046875" customWidth="1"/>
    <col min="6" max="7" width="9.73046875" customWidth="1"/>
    <col min="8" max="8" width="2.265625" customWidth="1"/>
    <col min="9" max="9" width="8.86328125" bestFit="1" customWidth="1"/>
    <col min="10" max="10" width="6.86328125" bestFit="1" customWidth="1"/>
    <col min="11" max="11" width="16.73046875" customWidth="1"/>
    <col min="12" max="12" width="9.73046875" bestFit="1" customWidth="1"/>
    <col min="13" max="13" width="8.3984375" bestFit="1" customWidth="1"/>
    <col min="14" max="14" width="2.265625" customWidth="1"/>
    <col min="15" max="15" width="9.73046875" bestFit="1" customWidth="1"/>
  </cols>
  <sheetData>
    <row r="1" spans="1:17" x14ac:dyDescent="0.35">
      <c r="A1" s="5"/>
      <c r="B1" s="5"/>
      <c r="C1" s="9" t="s">
        <v>66</v>
      </c>
      <c r="D1" s="9" t="s">
        <v>66</v>
      </c>
      <c r="E1" s="8" t="s">
        <v>66</v>
      </c>
      <c r="F1" s="8"/>
      <c r="G1" s="7"/>
      <c r="H1" s="7"/>
      <c r="I1" s="9" t="s">
        <v>67</v>
      </c>
      <c r="J1" s="9" t="s">
        <v>67</v>
      </c>
      <c r="K1" s="9" t="s">
        <v>67</v>
      </c>
      <c r="L1" s="9"/>
      <c r="M1" s="7"/>
      <c r="N1" s="7"/>
      <c r="O1" s="7"/>
      <c r="P1" s="7"/>
      <c r="Q1" s="7"/>
    </row>
    <row r="2" spans="1:17" x14ac:dyDescent="0.35">
      <c r="A2" s="5"/>
      <c r="B2" s="5"/>
      <c r="C2" s="9"/>
      <c r="D2" s="9"/>
      <c r="E2" s="8"/>
      <c r="F2" s="8"/>
      <c r="G2" s="7"/>
      <c r="H2" s="7"/>
      <c r="I2" s="9"/>
      <c r="J2" s="9"/>
      <c r="K2" s="9"/>
      <c r="L2" s="9"/>
      <c r="M2" s="7"/>
      <c r="N2" s="7"/>
      <c r="O2" s="7"/>
      <c r="P2" s="7"/>
      <c r="Q2" s="7"/>
    </row>
    <row r="3" spans="1:17" x14ac:dyDescent="0.35">
      <c r="C3" s="6" t="s">
        <v>71</v>
      </c>
      <c r="D3" s="6"/>
      <c r="E3" s="6"/>
      <c r="F3" s="6"/>
      <c r="G3" s="6"/>
      <c r="I3" s="6" t="s">
        <v>72</v>
      </c>
      <c r="J3" s="6"/>
      <c r="K3" s="6"/>
      <c r="L3" s="6"/>
      <c r="M3" s="6"/>
    </row>
    <row r="4" spans="1:17" x14ac:dyDescent="0.35">
      <c r="C4" s="4" t="s">
        <v>73</v>
      </c>
      <c r="D4" s="4" t="s">
        <v>79</v>
      </c>
      <c r="E4" s="4" t="s">
        <v>81</v>
      </c>
      <c r="F4" s="4" t="s">
        <v>79</v>
      </c>
      <c r="G4" s="4" t="s">
        <v>74</v>
      </c>
      <c r="H4" s="4"/>
      <c r="I4" s="4" t="s">
        <v>73</v>
      </c>
      <c r="J4" s="4" t="s">
        <v>79</v>
      </c>
      <c r="K4" s="4" t="s">
        <v>81</v>
      </c>
      <c r="L4" s="4" t="s">
        <v>79</v>
      </c>
      <c r="M4" s="4" t="s">
        <v>74</v>
      </c>
      <c r="N4" s="4"/>
      <c r="O4" s="4" t="s">
        <v>83</v>
      </c>
      <c r="P4" s="4" t="s">
        <v>77</v>
      </c>
      <c r="Q4" s="4"/>
    </row>
    <row r="5" spans="1:17" x14ac:dyDescent="0.35">
      <c r="A5" s="5" t="s">
        <v>70</v>
      </c>
      <c r="B5" s="5"/>
      <c r="C5" s="7" t="s">
        <v>78</v>
      </c>
      <c r="D5" s="7" t="s">
        <v>80</v>
      </c>
      <c r="E5" s="7" t="s">
        <v>82</v>
      </c>
      <c r="F5" s="7" t="s">
        <v>83</v>
      </c>
      <c r="G5" s="7" t="s">
        <v>75</v>
      </c>
      <c r="H5" s="7"/>
      <c r="I5" s="7" t="s">
        <v>78</v>
      </c>
      <c r="J5" s="7" t="s">
        <v>80</v>
      </c>
      <c r="K5" s="7" t="s">
        <v>82</v>
      </c>
      <c r="L5" s="7" t="s">
        <v>83</v>
      </c>
      <c r="M5" s="7" t="s">
        <v>75</v>
      </c>
      <c r="N5" s="7"/>
      <c r="O5" s="7" t="s">
        <v>76</v>
      </c>
      <c r="P5" s="7" t="s">
        <v>76</v>
      </c>
      <c r="Q5" s="7"/>
    </row>
    <row r="7" spans="1:17" x14ac:dyDescent="0.35">
      <c r="A7" t="s">
        <v>5</v>
      </c>
      <c r="C7" s="18">
        <f>SUMIF(data!A1:A213,'Problem 2'!A7&amp;'Problem 2'!C1,data!G1:G213)</f>
        <v>201500</v>
      </c>
      <c r="D7">
        <f>SUMIF(data!A1:A213,'Problem 2'!A7&amp;'Problem 2'!D1,data!H1:H213)</f>
        <v>8500</v>
      </c>
      <c r="E7" s="19">
        <f>SUMIF(data!A1:A213,'Problem 2'!A7&amp;'Problem 2'!E1,data!I1:I213)</f>
        <v>69567500</v>
      </c>
      <c r="F7" s="13">
        <f>D7/C7</f>
        <v>4.2183622828784122E-2</v>
      </c>
      <c r="G7" s="12">
        <f>E7/C7</f>
        <v>345.24813895781637</v>
      </c>
      <c r="I7" s="18">
        <f>SUMIF(data!A1:A213,'Problem 2'!A7&amp;'Problem 2'!I1,data!G1:G213)</f>
        <v>78500</v>
      </c>
      <c r="J7">
        <f>SUMIF(data!A1:A213,'Problem 2'!A7&amp;'Problem 2'!J1,data!H1:H213)</f>
        <v>5100</v>
      </c>
      <c r="K7" s="19">
        <f>SUMIF(data!A1:A213,'Problem 2'!A7&amp;'Problem 2'!K1,data!I1:I213)</f>
        <v>43728200</v>
      </c>
      <c r="L7" s="13">
        <f>J7/I7</f>
        <v>6.4968152866242038E-2</v>
      </c>
      <c r="M7" s="12">
        <f>K7/I7</f>
        <v>557.04713375796177</v>
      </c>
      <c r="O7" s="13">
        <f>L7-F7</f>
        <v>2.2784530037457916E-2</v>
      </c>
      <c r="P7" s="12">
        <f>M7-G7</f>
        <v>211.79899480014541</v>
      </c>
      <c r="Q7" s="2"/>
    </row>
    <row r="8" spans="1:17" x14ac:dyDescent="0.35">
      <c r="A8" t="s">
        <v>7</v>
      </c>
      <c r="C8" s="18">
        <f>SUMIF(data!A1:A213,'Problem 2'!A8&amp;'Problem 2'!C1,data!G1:G213)</f>
        <v>21400</v>
      </c>
      <c r="D8">
        <f>SUMIF(data!A1:A213,'Problem 2'!A8&amp;'Problem 2'!D1,data!H1:H213)</f>
        <v>1100</v>
      </c>
      <c r="E8" s="19">
        <f>SUMIF(data!A1:A213,'Problem 2'!A8&amp;'Problem 2'!E1,data!I1:I213)</f>
        <v>9021900</v>
      </c>
      <c r="F8" s="13">
        <f t="shared" ref="F8:F57" si="0">D8/C8</f>
        <v>5.1401869158878503E-2</v>
      </c>
      <c r="G8" s="12">
        <f t="shared" ref="G8:G57" si="1">E8/C8</f>
        <v>421.5841121495327</v>
      </c>
      <c r="I8" s="18">
        <f>SUMIF(data!A1:A213,'Problem 2'!A8&amp;'Problem 2'!I1,data!G1:G213)</f>
        <v>8800</v>
      </c>
      <c r="J8">
        <f>SUMIF(data!A1:A213,'Problem 2'!A8&amp;'Problem 2'!J1,data!H1:H213)</f>
        <v>700</v>
      </c>
      <c r="K8" s="19">
        <f>SUMIF(data!A1:A213,'Problem 2'!A8&amp;'Problem 2'!K1,data!I1:I213)</f>
        <v>5596600</v>
      </c>
      <c r="L8" s="13">
        <f t="shared" ref="L8:L57" si="2">J8/I8</f>
        <v>7.9545454545454544E-2</v>
      </c>
      <c r="M8" s="12">
        <f t="shared" ref="M8:M57" si="3">K8/I8</f>
        <v>635.97727272727275</v>
      </c>
      <c r="O8" s="13">
        <f t="shared" ref="O8:O57" si="4">L8-F8</f>
        <v>2.8143585386576041E-2</v>
      </c>
      <c r="P8" s="12">
        <f t="shared" ref="P8:P57" si="5">M8-G8</f>
        <v>214.39316057774005</v>
      </c>
      <c r="Q8" s="2"/>
    </row>
    <row r="9" spans="1:17" x14ac:dyDescent="0.35">
      <c r="A9" t="s">
        <v>8</v>
      </c>
      <c r="C9" s="18">
        <f>SUMIF(data!A1:A213,'Problem 2'!A9&amp;'Problem 2'!C1,data!G1:G213)</f>
        <v>171900</v>
      </c>
      <c r="D9">
        <f>SUMIF(data!A1:A213,'Problem 2'!A9&amp;'Problem 2'!D1,data!H1:H213)</f>
        <v>9400</v>
      </c>
      <c r="E9" s="19">
        <f>SUMIF(data!A1:A213,'Problem 2'!A9&amp;'Problem 2'!E1,data!I1:I213)</f>
        <v>77525300</v>
      </c>
      <c r="F9" s="13">
        <f t="shared" si="0"/>
        <v>5.4682955206515414E-2</v>
      </c>
      <c r="G9" s="12">
        <f t="shared" si="1"/>
        <v>450.99069226294358</v>
      </c>
      <c r="I9" s="18">
        <f>SUMIF(data!A1:A213,'Problem 2'!A9&amp;'Problem 2'!I1,data!G1:G213)</f>
        <v>76400</v>
      </c>
      <c r="J9">
        <f>SUMIF(data!A1:A213,'Problem 2'!A9&amp;'Problem 2'!J1,data!H1:H213)</f>
        <v>5200</v>
      </c>
      <c r="K9" s="19">
        <f>SUMIF(data!A1:A213,'Problem 2'!A9&amp;'Problem 2'!K1,data!I1:I213)</f>
        <v>39950400</v>
      </c>
      <c r="L9" s="13">
        <f t="shared" si="2"/>
        <v>6.8062827225130892E-2</v>
      </c>
      <c r="M9" s="12">
        <f t="shared" si="3"/>
        <v>522.91099476439786</v>
      </c>
      <c r="O9" s="13">
        <f t="shared" si="4"/>
        <v>1.3379872018615478E-2</v>
      </c>
      <c r="P9" s="12">
        <f t="shared" si="5"/>
        <v>71.920302501454273</v>
      </c>
      <c r="Q9" s="2"/>
    </row>
    <row r="10" spans="1:17" x14ac:dyDescent="0.35">
      <c r="A10" t="s">
        <v>9</v>
      </c>
      <c r="C10" s="18">
        <f>SUMIF(data!A1:A213,'Problem 2'!A10&amp;'Problem 2'!C1,data!G1:G213)</f>
        <v>78700</v>
      </c>
      <c r="D10">
        <f>SUMIF(data!A1:A213,'Problem 2'!A10&amp;'Problem 2'!D1,data!H1:H213)</f>
        <v>4100</v>
      </c>
      <c r="E10" s="19">
        <f>SUMIF(data!A1:A213,'Problem 2'!A10&amp;'Problem 2'!E1,data!I1:I213)</f>
        <v>33097700</v>
      </c>
      <c r="F10" s="13">
        <f t="shared" si="0"/>
        <v>5.2096569250317665E-2</v>
      </c>
      <c r="G10" s="12">
        <f t="shared" si="1"/>
        <v>420.55527318932656</v>
      </c>
      <c r="I10" s="18">
        <f>SUMIF(data!A1:A213,'Problem 2'!A10&amp;'Problem 2'!I1,data!G1:G213)</f>
        <v>35700</v>
      </c>
      <c r="J10">
        <f>SUMIF(data!A1:A213,'Problem 2'!A10&amp;'Problem 2'!J1,data!H1:H213)</f>
        <v>2800</v>
      </c>
      <c r="K10" s="19">
        <f>SUMIF(data!A1:A213,'Problem 2'!A10&amp;'Problem 2'!K1,data!I1:I213)</f>
        <v>24768700</v>
      </c>
      <c r="L10" s="13">
        <f t="shared" si="2"/>
        <v>7.8431372549019607E-2</v>
      </c>
      <c r="M10" s="12">
        <f t="shared" si="3"/>
        <v>693.80112044817929</v>
      </c>
      <c r="O10" s="13">
        <f t="shared" si="4"/>
        <v>2.6334803298701942E-2</v>
      </c>
      <c r="P10" s="12">
        <f t="shared" si="5"/>
        <v>273.24584725885273</v>
      </c>
      <c r="Q10" s="2"/>
    </row>
    <row r="11" spans="1:17" x14ac:dyDescent="0.35">
      <c r="A11" t="s">
        <v>10</v>
      </c>
      <c r="C11" s="18">
        <f>SUMIF(data!A1:A213,'Problem 2'!A11&amp;'Problem 2'!C1,data!G1:G213)</f>
        <v>1187700</v>
      </c>
      <c r="D11">
        <f>SUMIF(data!A1:A213,'Problem 2'!A11&amp;'Problem 2'!D1,data!H1:H213)</f>
        <v>52800</v>
      </c>
      <c r="E11" s="19">
        <f>SUMIF(data!A1:A213,'Problem 2'!A11&amp;'Problem 2'!E1,data!I1:I213)</f>
        <v>439639600</v>
      </c>
      <c r="F11" s="13">
        <f t="shared" si="0"/>
        <v>4.4455670623894925E-2</v>
      </c>
      <c r="G11" s="12">
        <f t="shared" si="1"/>
        <v>370.16047823524457</v>
      </c>
      <c r="I11" s="18">
        <f>SUMIF(data!A1:A213,'Problem 2'!A11&amp;'Problem 2'!I1,data!G1:G213)</f>
        <v>458600</v>
      </c>
      <c r="J11">
        <f>SUMIF(data!A1:A213,'Problem 2'!A11&amp;'Problem 2'!J1,data!H1:H213)</f>
        <v>29100</v>
      </c>
      <c r="K11" s="19">
        <f>SUMIF(data!A1:A213,'Problem 2'!A11&amp;'Problem 2'!K1,data!I1:I213)</f>
        <v>227696200</v>
      </c>
      <c r="L11" s="13">
        <f t="shared" si="2"/>
        <v>6.3453990405582208E-2</v>
      </c>
      <c r="M11" s="12">
        <f t="shared" si="3"/>
        <v>496.50283471434801</v>
      </c>
      <c r="O11" s="13">
        <f t="shared" si="4"/>
        <v>1.8998319781687284E-2</v>
      </c>
      <c r="P11" s="12">
        <f t="shared" si="5"/>
        <v>126.34235647910344</v>
      </c>
      <c r="Q11" s="2"/>
    </row>
    <row r="12" spans="1:17" x14ac:dyDescent="0.35">
      <c r="A12" t="s">
        <v>11</v>
      </c>
      <c r="C12" s="18">
        <f>SUMIF(data!A1:A213,'Problem 2'!A12&amp;'Problem 2'!C1,data!G1:G213)</f>
        <v>170700</v>
      </c>
      <c r="D12">
        <f>SUMIF(data!A1:A213,'Problem 2'!A12&amp;'Problem 2'!D1,data!H1:H213)</f>
        <v>7600</v>
      </c>
      <c r="E12" s="19">
        <f>SUMIF(data!A1:A213,'Problem 2'!A12&amp;'Problem 2'!E1,data!I1:I213)</f>
        <v>62953500</v>
      </c>
      <c r="F12" s="13">
        <f t="shared" si="0"/>
        <v>4.452255418863503E-2</v>
      </c>
      <c r="G12" s="12">
        <f t="shared" si="1"/>
        <v>368.79613356766259</v>
      </c>
      <c r="I12" s="18">
        <f>SUMIF(data!A1:A213,'Problem 2'!A12&amp;'Problem 2'!I1,data!G1:G213)</f>
        <v>73500</v>
      </c>
      <c r="J12">
        <f>SUMIF(data!A1:A213,'Problem 2'!A12&amp;'Problem 2'!J1,data!H1:H213)</f>
        <v>4600</v>
      </c>
      <c r="K12" s="19">
        <f>SUMIF(data!A1:A213,'Problem 2'!A12&amp;'Problem 2'!K1,data!I1:I213)</f>
        <v>37275900</v>
      </c>
      <c r="L12" s="13">
        <f t="shared" si="2"/>
        <v>6.2585034013605448E-2</v>
      </c>
      <c r="M12" s="12">
        <f t="shared" si="3"/>
        <v>507.1551020408163</v>
      </c>
      <c r="O12" s="13">
        <f t="shared" si="4"/>
        <v>1.8062479824970418E-2</v>
      </c>
      <c r="P12" s="12">
        <f t="shared" si="5"/>
        <v>138.35896847315371</v>
      </c>
      <c r="Q12" s="2"/>
    </row>
    <row r="13" spans="1:17" x14ac:dyDescent="0.35">
      <c r="A13" t="s">
        <v>12</v>
      </c>
      <c r="C13" s="18">
        <f>SUMIF(data!A1:A213,'Problem 2'!A13&amp;'Problem 2'!C1,data!G1:G213)</f>
        <v>123800</v>
      </c>
      <c r="D13">
        <f>SUMIF(data!A1:A213,'Problem 2'!A13&amp;'Problem 2'!D1,data!H1:H213)</f>
        <v>5200</v>
      </c>
      <c r="E13" s="19">
        <f>SUMIF(data!A1:A213,'Problem 2'!A13&amp;'Problem 2'!E1,data!I1:I213)</f>
        <v>44920300</v>
      </c>
      <c r="F13" s="13">
        <f t="shared" si="0"/>
        <v>4.2003231017770599E-2</v>
      </c>
      <c r="G13" s="12">
        <f t="shared" si="1"/>
        <v>362.84571890145395</v>
      </c>
      <c r="I13" s="18">
        <f>SUMIF(data!A1:A213,'Problem 2'!A13&amp;'Problem 2'!I1,data!G1:G213)</f>
        <v>54700</v>
      </c>
      <c r="J13">
        <f>SUMIF(data!A1:A213,'Problem 2'!A13&amp;'Problem 2'!J1,data!H1:H213)</f>
        <v>3100</v>
      </c>
      <c r="K13" s="19">
        <f>SUMIF(data!A1:A213,'Problem 2'!A13&amp;'Problem 2'!K1,data!I1:I213)</f>
        <v>26082100</v>
      </c>
      <c r="L13" s="13">
        <f t="shared" si="2"/>
        <v>5.6672760511882997E-2</v>
      </c>
      <c r="M13" s="12">
        <f t="shared" si="3"/>
        <v>476.82084095063988</v>
      </c>
      <c r="O13" s="13">
        <f t="shared" si="4"/>
        <v>1.4669529494112397E-2</v>
      </c>
      <c r="P13" s="12">
        <f t="shared" si="5"/>
        <v>113.97512204918593</v>
      </c>
      <c r="Q13" s="2"/>
    </row>
    <row r="14" spans="1:17" x14ac:dyDescent="0.35">
      <c r="A14" t="s">
        <v>13</v>
      </c>
      <c r="C14" s="18">
        <f>SUMIF(data!A1:A213,'Problem 2'!A14&amp;'Problem 2'!C1,data!G1:G213)</f>
        <v>36600</v>
      </c>
      <c r="D14">
        <f>SUMIF(data!A1:A213,'Problem 2'!A14&amp;'Problem 2'!D1,data!H1:H213)</f>
        <v>1600</v>
      </c>
      <c r="E14" s="19">
        <f>SUMIF(data!A1:A213,'Problem 2'!A14&amp;'Problem 2'!E1,data!I1:I213)</f>
        <v>13171000</v>
      </c>
      <c r="F14" s="13">
        <f t="shared" si="0"/>
        <v>4.3715846994535519E-2</v>
      </c>
      <c r="G14" s="12">
        <f t="shared" si="1"/>
        <v>359.8633879781421</v>
      </c>
      <c r="I14" s="18">
        <f>SUMIF(data!A1:A213,'Problem 2'!A14&amp;'Problem 2'!I1,data!G1:G213)</f>
        <v>13200</v>
      </c>
      <c r="J14">
        <f>SUMIF(data!A1:A213,'Problem 2'!A14&amp;'Problem 2'!J1,data!H1:H213)</f>
        <v>900</v>
      </c>
      <c r="K14" s="19">
        <f>SUMIF(data!A1:A213,'Problem 2'!A14&amp;'Problem 2'!K1,data!I1:I213)</f>
        <v>7152300</v>
      </c>
      <c r="L14" s="13">
        <f t="shared" si="2"/>
        <v>6.8181818181818177E-2</v>
      </c>
      <c r="M14" s="12">
        <f t="shared" si="3"/>
        <v>541.84090909090912</v>
      </c>
      <c r="O14" s="13">
        <f t="shared" si="4"/>
        <v>2.4465971187282658E-2</v>
      </c>
      <c r="P14" s="12">
        <f t="shared" si="5"/>
        <v>181.97752111276702</v>
      </c>
      <c r="Q14" s="2"/>
    </row>
    <row r="15" spans="1:17" x14ac:dyDescent="0.35">
      <c r="A15" t="s">
        <v>14</v>
      </c>
      <c r="C15" s="18">
        <f>SUMIF(data!A1:A213,'Problem 2'!A15&amp;'Problem 2'!C1,data!G1:G213)</f>
        <v>19800</v>
      </c>
      <c r="D15">
        <f>SUMIF(data!A1:A213,'Problem 2'!A15&amp;'Problem 2'!D1,data!H1:H213)</f>
        <v>1000</v>
      </c>
      <c r="E15" s="19">
        <f>SUMIF(data!A1:A213,'Problem 2'!A15&amp;'Problem 2'!E1,data!I1:I213)</f>
        <v>8378100</v>
      </c>
      <c r="F15" s="13">
        <f t="shared" si="0"/>
        <v>5.0505050505050504E-2</v>
      </c>
      <c r="G15" s="12">
        <f t="shared" si="1"/>
        <v>423.13636363636363</v>
      </c>
      <c r="I15" s="18">
        <f>SUMIF(data!A1:A213,'Problem 2'!A15&amp;'Problem 2'!I1,data!G1:G213)</f>
        <v>9400</v>
      </c>
      <c r="J15">
        <f>SUMIF(data!A1:A213,'Problem 2'!A15&amp;'Problem 2'!J1,data!H1:H213)</f>
        <v>700</v>
      </c>
      <c r="K15" s="19">
        <f>SUMIF(data!A1:A213,'Problem 2'!A15&amp;'Problem 2'!K1,data!I1:I213)</f>
        <v>5613100</v>
      </c>
      <c r="L15" s="13">
        <f t="shared" si="2"/>
        <v>7.4468085106382975E-2</v>
      </c>
      <c r="M15" s="12">
        <f t="shared" si="3"/>
        <v>597.13829787234044</v>
      </c>
      <c r="O15" s="13">
        <f t="shared" si="4"/>
        <v>2.3963034601332471E-2</v>
      </c>
      <c r="P15" s="12">
        <f t="shared" si="5"/>
        <v>174.00193423597682</v>
      </c>
      <c r="Q15" s="2"/>
    </row>
    <row r="16" spans="1:17" x14ac:dyDescent="0.35">
      <c r="A16" t="s">
        <v>15</v>
      </c>
      <c r="C16" s="18">
        <f>SUMIF(data!A1:A213,'Problem 2'!A16&amp;'Problem 2'!C1,data!G1:G213)</f>
        <v>424200</v>
      </c>
      <c r="D16">
        <f>SUMIF(data!A1:A213,'Problem 2'!A16&amp;'Problem 2'!D1,data!H1:H213)</f>
        <v>16300</v>
      </c>
      <c r="E16" s="19">
        <f>SUMIF(data!A1:A213,'Problem 2'!A16&amp;'Problem 2'!E1,data!I1:I213)</f>
        <v>127874300</v>
      </c>
      <c r="F16" s="13">
        <f t="shared" si="0"/>
        <v>3.8425271098538424E-2</v>
      </c>
      <c r="G16" s="12">
        <f t="shared" si="1"/>
        <v>301.44813767090994</v>
      </c>
      <c r="I16" s="18">
        <f>SUMIF(data!A1:A213,'Problem 2'!A16&amp;'Problem 2'!I1,data!G1:G213)</f>
        <v>225100</v>
      </c>
      <c r="J16">
        <f>SUMIF(data!A1:A213,'Problem 2'!A16&amp;'Problem 2'!J1,data!H1:H213)</f>
        <v>15700</v>
      </c>
      <c r="K16" s="19">
        <f>SUMIF(data!A1:A213,'Problem 2'!A16&amp;'Problem 2'!K1,data!I1:I213)</f>
        <v>130562100</v>
      </c>
      <c r="L16" s="13">
        <f t="shared" si="2"/>
        <v>6.9746779209240342E-2</v>
      </c>
      <c r="M16" s="12">
        <f t="shared" si="3"/>
        <v>580.01821412705465</v>
      </c>
      <c r="O16" s="13">
        <f t="shared" si="4"/>
        <v>3.1321508110701918E-2</v>
      </c>
      <c r="P16" s="12">
        <f t="shared" si="5"/>
        <v>278.5700764561447</v>
      </c>
      <c r="Q16" s="2"/>
    </row>
    <row r="17" spans="1:17" x14ac:dyDescent="0.35">
      <c r="A17" t="s">
        <v>16</v>
      </c>
      <c r="C17" s="18">
        <f>SUMIF(data!A1:A213,'Problem 2'!A17&amp;'Problem 2'!C1,data!G1:G213)</f>
        <v>322200</v>
      </c>
      <c r="D17">
        <f>SUMIF(data!A1:A213,'Problem 2'!A17&amp;'Problem 2'!D1,data!H1:H213)</f>
        <v>14500</v>
      </c>
      <c r="E17" s="19">
        <f>SUMIF(data!A1:A213,'Problem 2'!A17&amp;'Problem 2'!E1,data!I1:I213)</f>
        <v>111198200</v>
      </c>
      <c r="F17" s="13">
        <f t="shared" si="0"/>
        <v>4.5003103662321541E-2</v>
      </c>
      <c r="G17" s="12">
        <f t="shared" si="1"/>
        <v>345.12166356300435</v>
      </c>
      <c r="I17" s="18">
        <f>SUMIF(data!A1:A213,'Problem 2'!A17&amp;'Problem 2'!I1,data!G1:G213)</f>
        <v>134700</v>
      </c>
      <c r="J17">
        <f>SUMIF(data!A1:A213,'Problem 2'!A17&amp;'Problem 2'!J1,data!H1:H213)</f>
        <v>9000</v>
      </c>
      <c r="K17" s="19">
        <f>SUMIF(data!A1:A213,'Problem 2'!A17&amp;'Problem 2'!K1,data!I1:I213)</f>
        <v>68419700</v>
      </c>
      <c r="L17" s="13">
        <f t="shared" si="2"/>
        <v>6.6815144766147E-2</v>
      </c>
      <c r="M17" s="12">
        <f t="shared" si="3"/>
        <v>507.94135115070526</v>
      </c>
      <c r="O17" s="13">
        <f t="shared" si="4"/>
        <v>2.1812041103825459E-2</v>
      </c>
      <c r="P17" s="12">
        <f t="shared" si="5"/>
        <v>162.81968758770091</v>
      </c>
      <c r="Q17" s="2"/>
    </row>
    <row r="18" spans="1:17" x14ac:dyDescent="0.35">
      <c r="A18" t="s">
        <v>17</v>
      </c>
      <c r="C18" s="18">
        <f>SUMIF(data!A1:A213,'Problem 2'!A18&amp;'Problem 2'!C1,data!G1:G213)</f>
        <v>20300</v>
      </c>
      <c r="D18">
        <f>SUMIF(data!A1:A213,'Problem 2'!A18&amp;'Problem 2'!D1,data!H1:H213)</f>
        <v>1000</v>
      </c>
      <c r="E18" s="19">
        <f>SUMIF(data!A1:A213,'Problem 2'!A18&amp;'Problem 2'!E1,data!I1:I213)</f>
        <v>8036600</v>
      </c>
      <c r="F18" s="13">
        <f t="shared" si="0"/>
        <v>4.9261083743842367E-2</v>
      </c>
      <c r="G18" s="12">
        <f t="shared" si="1"/>
        <v>395.89162561576353</v>
      </c>
      <c r="I18" s="18">
        <f>SUMIF(data!A1:A213,'Problem 2'!A18&amp;'Problem 2'!I1,data!G1:G213)</f>
        <v>10800</v>
      </c>
      <c r="J18">
        <f>SUMIF(data!A1:A213,'Problem 2'!A18&amp;'Problem 2'!J1,data!H1:H213)</f>
        <v>800</v>
      </c>
      <c r="K18" s="19">
        <f>SUMIF(data!A1:A213,'Problem 2'!A18&amp;'Problem 2'!K1,data!I1:I213)</f>
        <v>6602300</v>
      </c>
      <c r="L18" s="13">
        <f t="shared" si="2"/>
        <v>7.407407407407407E-2</v>
      </c>
      <c r="M18" s="12">
        <f t="shared" si="3"/>
        <v>611.32407407407402</v>
      </c>
      <c r="O18" s="13">
        <f t="shared" si="4"/>
        <v>2.4812990330231703E-2</v>
      </c>
      <c r="P18" s="12">
        <f t="shared" si="5"/>
        <v>215.43244845831049</v>
      </c>
      <c r="Q18" s="2"/>
    </row>
    <row r="19" spans="1:17" x14ac:dyDescent="0.35">
      <c r="A19" t="s">
        <v>18</v>
      </c>
      <c r="C19" s="18">
        <f>SUMIF(data!A1:A213,'Problem 2'!A19&amp;'Problem 2'!C1,data!G1:G213)</f>
        <v>48600</v>
      </c>
      <c r="D19">
        <f>SUMIF(data!A1:A213,'Problem 2'!A19&amp;'Problem 2'!D1,data!H1:H213)</f>
        <v>2200</v>
      </c>
      <c r="E19" s="19">
        <f>SUMIF(data!A1:A213,'Problem 2'!A19&amp;'Problem 2'!E1,data!I1:I213)</f>
        <v>18017200</v>
      </c>
      <c r="F19" s="13">
        <f t="shared" si="0"/>
        <v>4.5267489711934158E-2</v>
      </c>
      <c r="G19" s="12">
        <f t="shared" si="1"/>
        <v>370.72427983539097</v>
      </c>
      <c r="I19" s="18">
        <f>SUMIF(data!A1:A213,'Problem 2'!A19&amp;'Problem 2'!I1,data!G1:G213)</f>
        <v>21400</v>
      </c>
      <c r="J19">
        <f>SUMIF(data!A1:A213,'Problem 2'!A19&amp;'Problem 2'!J1,data!H1:H213)</f>
        <v>1600</v>
      </c>
      <c r="K19" s="19">
        <f>SUMIF(data!A1:A213,'Problem 2'!A19&amp;'Problem 2'!K1,data!I1:I213)</f>
        <v>13334000</v>
      </c>
      <c r="L19" s="13">
        <f t="shared" si="2"/>
        <v>7.476635514018691E-2</v>
      </c>
      <c r="M19" s="12">
        <f t="shared" si="3"/>
        <v>623.08411214953276</v>
      </c>
      <c r="O19" s="13">
        <f t="shared" si="4"/>
        <v>2.9498865428252752E-2</v>
      </c>
      <c r="P19" s="12">
        <f t="shared" si="5"/>
        <v>252.35983231414178</v>
      </c>
      <c r="Q19" s="2"/>
    </row>
    <row r="20" spans="1:17" x14ac:dyDescent="0.35">
      <c r="A20" t="s">
        <v>19</v>
      </c>
      <c r="C20" s="18">
        <f>SUMIF(data!A1:A213,'Problem 2'!A20&amp;'Problem 2'!C1,data!G1:G213)</f>
        <v>276000</v>
      </c>
      <c r="D20">
        <f>SUMIF(data!A1:A213,'Problem 2'!A20&amp;'Problem 2'!D1,data!H1:H213)</f>
        <v>11700</v>
      </c>
      <c r="E20" s="19">
        <f>SUMIF(data!A1:A213,'Problem 2'!A20&amp;'Problem 2'!E1,data!I1:I213)</f>
        <v>94321200</v>
      </c>
      <c r="F20" s="13">
        <f t="shared" si="0"/>
        <v>4.2391304347826085E-2</v>
      </c>
      <c r="G20" s="12">
        <f t="shared" si="1"/>
        <v>341.74347826086955</v>
      </c>
      <c r="I20" s="18">
        <f>SUMIF(data!A1:A213,'Problem 2'!A20&amp;'Problem 2'!I1,data!G1:G213)</f>
        <v>148100</v>
      </c>
      <c r="J20">
        <f>SUMIF(data!A1:A213,'Problem 2'!A20&amp;'Problem 2'!J1,data!H1:H213)</f>
        <v>10600</v>
      </c>
      <c r="K20" s="19">
        <f>SUMIF(data!A1:A213,'Problem 2'!A20&amp;'Problem 2'!K1,data!I1:I213)</f>
        <v>83510100</v>
      </c>
      <c r="L20" s="13">
        <f t="shared" si="2"/>
        <v>7.1573261309925723E-2</v>
      </c>
      <c r="M20" s="12">
        <f t="shared" si="3"/>
        <v>563.87643484132343</v>
      </c>
      <c r="O20" s="13">
        <f t="shared" si="4"/>
        <v>2.9181956962099638E-2</v>
      </c>
      <c r="P20" s="12">
        <f t="shared" si="5"/>
        <v>222.13295658045388</v>
      </c>
      <c r="Q20" s="2"/>
    </row>
    <row r="21" spans="1:17" x14ac:dyDescent="0.35">
      <c r="A21" t="s">
        <v>20</v>
      </c>
      <c r="C21" s="18">
        <f>SUMIF(data!A1:A213,'Problem 2'!A21&amp;'Problem 2'!C1,data!G1:G213)</f>
        <v>241600</v>
      </c>
      <c r="D21">
        <f>SUMIF(data!A1:A213,'Problem 2'!A21&amp;'Problem 2'!D1,data!H1:H213)</f>
        <v>7300</v>
      </c>
      <c r="E21" s="19">
        <f>SUMIF(data!A1:A213,'Problem 2'!A21&amp;'Problem 2'!E1,data!I1:I213)</f>
        <v>58858300</v>
      </c>
      <c r="F21" s="13">
        <f t="shared" si="0"/>
        <v>3.0215231788079472E-2</v>
      </c>
      <c r="G21" s="12">
        <f t="shared" si="1"/>
        <v>243.61879139072849</v>
      </c>
      <c r="I21" s="18">
        <f>SUMIF(data!A1:A213,'Problem 2'!A21&amp;'Problem 2'!I1,data!G1:G213)</f>
        <v>104600</v>
      </c>
      <c r="J21">
        <f>SUMIF(data!A1:A213,'Problem 2'!A21&amp;'Problem 2'!J1,data!H1:H213)</f>
        <v>5800</v>
      </c>
      <c r="K21" s="19">
        <f>SUMIF(data!A1:A213,'Problem 2'!A21&amp;'Problem 2'!K1,data!I1:I213)</f>
        <v>46592800</v>
      </c>
      <c r="L21" s="13">
        <f t="shared" si="2"/>
        <v>5.5449330783938815E-2</v>
      </c>
      <c r="M21" s="12">
        <f t="shared" si="3"/>
        <v>445.43785850860422</v>
      </c>
      <c r="O21" s="13">
        <f t="shared" si="4"/>
        <v>2.5234098995859343E-2</v>
      </c>
      <c r="P21" s="12">
        <f t="shared" si="5"/>
        <v>201.81906711787573</v>
      </c>
      <c r="Q21" s="2"/>
    </row>
    <row r="22" spans="1:17" x14ac:dyDescent="0.35">
      <c r="A22" t="s">
        <v>21</v>
      </c>
      <c r="C22" s="18">
        <f>SUMIF(data!A1:A213,'Problem 2'!A22&amp;'Problem 2'!C1,data!G1:G213)</f>
        <v>53400</v>
      </c>
      <c r="D22">
        <f>SUMIF(data!A1:A213,'Problem 2'!A22&amp;'Problem 2'!D1,data!H1:H213)</f>
        <v>1800</v>
      </c>
      <c r="E22" s="19">
        <f>SUMIF(data!A1:A213,'Problem 2'!A22&amp;'Problem 2'!E1,data!I1:I213)</f>
        <v>14284300</v>
      </c>
      <c r="F22" s="13">
        <f t="shared" si="0"/>
        <v>3.3707865168539325E-2</v>
      </c>
      <c r="G22" s="12">
        <f t="shared" si="1"/>
        <v>267.49625468164794</v>
      </c>
      <c r="I22" s="18">
        <f>SUMIF(data!A1:A213,'Problem 2'!A22&amp;'Problem 2'!I1,data!G1:G213)</f>
        <v>26500</v>
      </c>
      <c r="J22">
        <f>SUMIF(data!A1:A213,'Problem 2'!A22&amp;'Problem 2'!J1,data!H1:H213)</f>
        <v>1600</v>
      </c>
      <c r="K22" s="19">
        <f>SUMIF(data!A1:A213,'Problem 2'!A22&amp;'Problem 2'!K1,data!I1:I213)</f>
        <v>13251700</v>
      </c>
      <c r="L22" s="13">
        <f t="shared" si="2"/>
        <v>6.0377358490566038E-2</v>
      </c>
      <c r="M22" s="12">
        <f t="shared" si="3"/>
        <v>500.06415094339621</v>
      </c>
      <c r="O22" s="13">
        <f t="shared" si="4"/>
        <v>2.6669493322026713E-2</v>
      </c>
      <c r="P22" s="12">
        <f t="shared" si="5"/>
        <v>232.56789626174827</v>
      </c>
      <c r="Q22" s="2"/>
    </row>
    <row r="23" spans="1:17" x14ac:dyDescent="0.35">
      <c r="A23" t="s">
        <v>22</v>
      </c>
      <c r="C23" s="18">
        <f>SUMIF(data!A1:A213,'Problem 2'!A23&amp;'Problem 2'!C1,data!G1:G213)</f>
        <v>84800</v>
      </c>
      <c r="D23">
        <f>SUMIF(data!A1:A213,'Problem 2'!A23&amp;'Problem 2'!D1,data!H1:H213)</f>
        <v>4400</v>
      </c>
      <c r="E23" s="19">
        <f>SUMIF(data!A1:A213,'Problem 2'!A23&amp;'Problem 2'!E1,data!I1:I213)</f>
        <v>33961600</v>
      </c>
      <c r="F23" s="13">
        <f t="shared" si="0"/>
        <v>5.1886792452830191E-2</v>
      </c>
      <c r="G23" s="12">
        <f t="shared" si="1"/>
        <v>400.49056603773585</v>
      </c>
      <c r="I23" s="18">
        <f>SUMIF(data!A1:A213,'Problem 2'!A23&amp;'Problem 2'!I1,data!G1:G213)</f>
        <v>34400</v>
      </c>
      <c r="J23">
        <f>SUMIF(data!A1:A213,'Problem 2'!A23&amp;'Problem 2'!J1,data!H1:H213)</f>
        <v>2400</v>
      </c>
      <c r="K23" s="19">
        <f>SUMIF(data!A1:A213,'Problem 2'!A23&amp;'Problem 2'!K1,data!I1:I213)</f>
        <v>21133000</v>
      </c>
      <c r="L23" s="13">
        <f t="shared" si="2"/>
        <v>6.9767441860465115E-2</v>
      </c>
      <c r="M23" s="12">
        <f t="shared" si="3"/>
        <v>614.33139534883719</v>
      </c>
      <c r="O23" s="13">
        <f t="shared" si="4"/>
        <v>1.7880649407634924E-2</v>
      </c>
      <c r="P23" s="12">
        <f t="shared" si="5"/>
        <v>213.84082931110134</v>
      </c>
      <c r="Q23" s="2"/>
    </row>
    <row r="24" spans="1:17" x14ac:dyDescent="0.35">
      <c r="A24" t="s">
        <v>23</v>
      </c>
      <c r="C24" s="18">
        <f>SUMIF(data!A1:A213,'Problem 2'!A24&amp;'Problem 2'!C1,data!G1:G213)</f>
        <v>106600</v>
      </c>
      <c r="D24">
        <f>SUMIF(data!A1:A213,'Problem 2'!A24&amp;'Problem 2'!D1,data!H1:H213)</f>
        <v>5600</v>
      </c>
      <c r="E24" s="19">
        <f>SUMIF(data!A1:A213,'Problem 2'!A24&amp;'Problem 2'!E1,data!I1:I213)</f>
        <v>46902300</v>
      </c>
      <c r="F24" s="13">
        <f t="shared" si="0"/>
        <v>5.2532833020637902E-2</v>
      </c>
      <c r="G24" s="12">
        <f t="shared" si="1"/>
        <v>439.984052532833</v>
      </c>
      <c r="I24" s="18">
        <f>SUMIF(data!A1:A213,'Problem 2'!A24&amp;'Problem 2'!I1,data!G1:G213)</f>
        <v>42200</v>
      </c>
      <c r="J24">
        <f>SUMIF(data!A1:A213,'Problem 2'!A24&amp;'Problem 2'!J1,data!H1:H213)</f>
        <v>3100</v>
      </c>
      <c r="K24" s="19">
        <f>SUMIF(data!A1:A213,'Problem 2'!A24&amp;'Problem 2'!K1,data!I1:I213)</f>
        <v>24898500</v>
      </c>
      <c r="L24" s="13">
        <f t="shared" si="2"/>
        <v>7.3459715639810422E-2</v>
      </c>
      <c r="M24" s="12">
        <f t="shared" si="3"/>
        <v>590.01184834123228</v>
      </c>
      <c r="O24" s="13">
        <f t="shared" si="4"/>
        <v>2.092688261917252E-2</v>
      </c>
      <c r="P24" s="12">
        <f t="shared" si="5"/>
        <v>150.02779580839928</v>
      </c>
      <c r="Q24" s="2"/>
    </row>
    <row r="25" spans="1:17" x14ac:dyDescent="0.35">
      <c r="A25" t="s">
        <v>24</v>
      </c>
      <c r="C25" s="18">
        <f>SUMIF(data!A1:A213,'Problem 2'!A25&amp;'Problem 2'!C1,data!G1:G213)</f>
        <v>134600</v>
      </c>
      <c r="D25">
        <f>SUMIF(data!A1:A213,'Problem 2'!A25&amp;'Problem 2'!D1,data!H1:H213)</f>
        <v>5000</v>
      </c>
      <c r="E25" s="19">
        <f>SUMIF(data!A1:A213,'Problem 2'!A25&amp;'Problem 2'!E1,data!I1:I213)</f>
        <v>40955100</v>
      </c>
      <c r="F25" s="13">
        <f t="shared" si="0"/>
        <v>3.7147102526002972E-2</v>
      </c>
      <c r="G25" s="12">
        <f t="shared" si="1"/>
        <v>304.27265973254089</v>
      </c>
      <c r="I25" s="18">
        <f>SUMIF(data!A1:A213,'Problem 2'!A25&amp;'Problem 2'!I1,data!G1:G213)</f>
        <v>52600</v>
      </c>
      <c r="J25">
        <f>SUMIF(data!A1:A213,'Problem 2'!A25&amp;'Problem 2'!J1,data!H1:H213)</f>
        <v>3300</v>
      </c>
      <c r="K25" s="19">
        <f>SUMIF(data!A1:A213,'Problem 2'!A25&amp;'Problem 2'!K1,data!I1:I213)</f>
        <v>27313700</v>
      </c>
      <c r="L25" s="13">
        <f t="shared" si="2"/>
        <v>6.2737642585551326E-2</v>
      </c>
      <c r="M25" s="12">
        <f t="shared" si="3"/>
        <v>519.27186311787068</v>
      </c>
      <c r="O25" s="13">
        <f t="shared" si="4"/>
        <v>2.5590540059548354E-2</v>
      </c>
      <c r="P25" s="12">
        <f t="shared" si="5"/>
        <v>214.99920338532979</v>
      </c>
      <c r="Q25" s="2"/>
    </row>
    <row r="26" spans="1:17" x14ac:dyDescent="0.35">
      <c r="A26" t="s">
        <v>25</v>
      </c>
      <c r="C26" s="18">
        <f>SUMIF(data!A1:A213,'Problem 2'!A26&amp;'Problem 2'!C1,data!G1:G213)</f>
        <v>50900</v>
      </c>
      <c r="D26">
        <f>SUMIF(data!A1:A213,'Problem 2'!A26&amp;'Problem 2'!D1,data!H1:H213)</f>
        <v>2200</v>
      </c>
      <c r="E26" s="19">
        <f>SUMIF(data!A1:A213,'Problem 2'!A26&amp;'Problem 2'!E1,data!I1:I213)</f>
        <v>17916800</v>
      </c>
      <c r="F26" s="13">
        <f t="shared" si="0"/>
        <v>4.3222003929273084E-2</v>
      </c>
      <c r="G26" s="12">
        <f t="shared" si="1"/>
        <v>352</v>
      </c>
      <c r="I26" s="18">
        <f>SUMIF(data!A1:A213,'Problem 2'!A26&amp;'Problem 2'!I1,data!G1:G213)</f>
        <v>21900</v>
      </c>
      <c r="J26">
        <f>SUMIF(data!A1:A213,'Problem 2'!A26&amp;'Problem 2'!J1,data!H1:H213)</f>
        <v>1400</v>
      </c>
      <c r="K26" s="19">
        <f>SUMIF(data!A1:A213,'Problem 2'!A26&amp;'Problem 2'!K1,data!I1:I213)</f>
        <v>10968800</v>
      </c>
      <c r="L26" s="13">
        <f t="shared" si="2"/>
        <v>6.3926940639269403E-2</v>
      </c>
      <c r="M26" s="12">
        <f t="shared" si="3"/>
        <v>500.85844748858449</v>
      </c>
      <c r="O26" s="13">
        <f t="shared" si="4"/>
        <v>2.0704936709996319E-2</v>
      </c>
      <c r="P26" s="12">
        <f t="shared" si="5"/>
        <v>148.85844748858449</v>
      </c>
      <c r="Q26" s="2"/>
    </row>
    <row r="27" spans="1:17" x14ac:dyDescent="0.35">
      <c r="A27" t="s">
        <v>26</v>
      </c>
      <c r="C27" s="18">
        <f>SUMIF(data!A1:A213,'Problem 2'!A27&amp;'Problem 2'!C1,data!G1:G213)</f>
        <v>173400</v>
      </c>
      <c r="D27">
        <f>SUMIF(data!A1:A213,'Problem 2'!A27&amp;'Problem 2'!D1,data!H1:H213)</f>
        <v>7200</v>
      </c>
      <c r="E27" s="19">
        <f>SUMIF(data!A1:A213,'Problem 2'!A27&amp;'Problem 2'!E1,data!I1:I213)</f>
        <v>56252400</v>
      </c>
      <c r="F27" s="13">
        <f t="shared" si="0"/>
        <v>4.1522491349480967E-2</v>
      </c>
      <c r="G27" s="12">
        <f t="shared" si="1"/>
        <v>324.4083044982699</v>
      </c>
      <c r="I27" s="18">
        <f>SUMIF(data!A1:A213,'Problem 2'!A27&amp;'Problem 2'!I1,data!G1:G213)</f>
        <v>69500</v>
      </c>
      <c r="J27">
        <f>SUMIF(data!A1:A213,'Problem 2'!A27&amp;'Problem 2'!J1,data!H1:H213)</f>
        <v>5100</v>
      </c>
      <c r="K27" s="19">
        <f>SUMIF(data!A1:A213,'Problem 2'!A27&amp;'Problem 2'!K1,data!I1:I213)</f>
        <v>40517000</v>
      </c>
      <c r="L27" s="13">
        <f t="shared" si="2"/>
        <v>7.3381294964028773E-2</v>
      </c>
      <c r="M27" s="12">
        <f t="shared" si="3"/>
        <v>582.97841726618708</v>
      </c>
      <c r="O27" s="13">
        <f t="shared" si="4"/>
        <v>3.1858803614547807E-2</v>
      </c>
      <c r="P27" s="12">
        <f t="shared" si="5"/>
        <v>258.57011276791718</v>
      </c>
      <c r="Q27" s="2"/>
    </row>
    <row r="28" spans="1:17" x14ac:dyDescent="0.35">
      <c r="A28" t="s">
        <v>27</v>
      </c>
      <c r="C28" s="18">
        <f>SUMIF(data!A1:A213,'Problem 2'!A28&amp;'Problem 2'!C1,data!G1:G213)</f>
        <v>232000</v>
      </c>
      <c r="D28">
        <f>SUMIF(data!A1:A213,'Problem 2'!A28&amp;'Problem 2'!D1,data!H1:H213)</f>
        <v>11300</v>
      </c>
      <c r="E28" s="19">
        <f>SUMIF(data!A1:A213,'Problem 2'!A28&amp;'Problem 2'!E1,data!I1:I213)</f>
        <v>95320700</v>
      </c>
      <c r="F28" s="13">
        <f t="shared" si="0"/>
        <v>4.8706896551724138E-2</v>
      </c>
      <c r="G28" s="12">
        <f t="shared" si="1"/>
        <v>410.86508620689654</v>
      </c>
      <c r="I28" s="18">
        <f>SUMIF(data!A1:A213,'Problem 2'!A28&amp;'Problem 2'!I1,data!G1:G213)</f>
        <v>97400</v>
      </c>
      <c r="J28">
        <f>SUMIF(data!A1:A213,'Problem 2'!A28&amp;'Problem 2'!J1,data!H1:H213)</f>
        <v>7000</v>
      </c>
      <c r="K28" s="19">
        <f>SUMIF(data!A1:A213,'Problem 2'!A28&amp;'Problem 2'!K1,data!I1:I213)</f>
        <v>59588800</v>
      </c>
      <c r="L28" s="13">
        <f t="shared" si="2"/>
        <v>7.1868583162217656E-2</v>
      </c>
      <c r="M28" s="12">
        <f t="shared" si="3"/>
        <v>611.79466119096514</v>
      </c>
      <c r="O28" s="13">
        <f t="shared" si="4"/>
        <v>2.3161686610493518E-2</v>
      </c>
      <c r="P28" s="12">
        <f t="shared" si="5"/>
        <v>200.92957498406861</v>
      </c>
      <c r="Q28" s="2"/>
    </row>
    <row r="29" spans="1:17" x14ac:dyDescent="0.35">
      <c r="A29" t="s">
        <v>28</v>
      </c>
      <c r="C29" s="18">
        <f>SUMIF(data!A1:A213,'Problem 2'!A29&amp;'Problem 2'!C1,data!G1:G213)</f>
        <v>206200</v>
      </c>
      <c r="D29">
        <f>SUMIF(data!A1:A213,'Problem 2'!A29&amp;'Problem 2'!D1,data!H1:H213)</f>
        <v>10600</v>
      </c>
      <c r="E29" s="19">
        <f>SUMIF(data!A1:A213,'Problem 2'!A29&amp;'Problem 2'!E1,data!I1:I213)</f>
        <v>82135800</v>
      </c>
      <c r="F29" s="13">
        <f t="shared" si="0"/>
        <v>5.140640155189137E-2</v>
      </c>
      <c r="G29" s="12">
        <f t="shared" si="1"/>
        <v>398.33074684772066</v>
      </c>
      <c r="I29" s="18">
        <f>SUMIF(data!A1:A213,'Problem 2'!A29&amp;'Problem 2'!I1,data!G1:G213)</f>
        <v>85500</v>
      </c>
      <c r="J29">
        <f>SUMIF(data!A1:A213,'Problem 2'!A29&amp;'Problem 2'!J1,data!H1:H213)</f>
        <v>7100</v>
      </c>
      <c r="K29" s="19">
        <f>SUMIF(data!A1:A213,'Problem 2'!A29&amp;'Problem 2'!K1,data!I1:I213)</f>
        <v>58033500</v>
      </c>
      <c r="L29" s="13">
        <f t="shared" si="2"/>
        <v>8.3040935672514624E-2</v>
      </c>
      <c r="M29" s="12">
        <f t="shared" si="3"/>
        <v>678.75438596491233</v>
      </c>
      <c r="O29" s="13">
        <f t="shared" si="4"/>
        <v>3.1634534120623253E-2</v>
      </c>
      <c r="P29" s="12">
        <f t="shared" si="5"/>
        <v>280.42363911719167</v>
      </c>
      <c r="Q29" s="2"/>
    </row>
    <row r="30" spans="1:17" x14ac:dyDescent="0.35">
      <c r="A30" t="s">
        <v>29</v>
      </c>
      <c r="C30" s="18">
        <f>SUMIF(data!A1:A213,'Problem 2'!A30&amp;'Problem 2'!C1,data!G1:G213)</f>
        <v>160200</v>
      </c>
      <c r="D30">
        <f>SUMIF(data!A1:A213,'Problem 2'!A30&amp;'Problem 2'!D1,data!H1:H213)</f>
        <v>7700</v>
      </c>
      <c r="E30" s="19">
        <f>SUMIF(data!A1:A213,'Problem 2'!A30&amp;'Problem 2'!E1,data!I1:I213)</f>
        <v>64843600</v>
      </c>
      <c r="F30" s="13">
        <f t="shared" si="0"/>
        <v>4.8064918851435705E-2</v>
      </c>
      <c r="G30" s="12">
        <f t="shared" si="1"/>
        <v>404.76654182272159</v>
      </c>
      <c r="I30" s="18">
        <f>SUMIF(data!A1:A213,'Problem 2'!A30&amp;'Problem 2'!I1,data!G1:G213)</f>
        <v>70200</v>
      </c>
      <c r="J30">
        <f>SUMIF(data!A1:A213,'Problem 2'!A30&amp;'Problem 2'!J1,data!H1:H213)</f>
        <v>5200</v>
      </c>
      <c r="K30" s="19">
        <f>SUMIF(data!A1:A213,'Problem 2'!A30&amp;'Problem 2'!K1,data!I1:I213)</f>
        <v>41284500</v>
      </c>
      <c r="L30" s="13">
        <f t="shared" si="2"/>
        <v>7.407407407407407E-2</v>
      </c>
      <c r="M30" s="12">
        <f t="shared" si="3"/>
        <v>588.09829059829065</v>
      </c>
      <c r="O30" s="13">
        <f t="shared" si="4"/>
        <v>2.6009155222638365E-2</v>
      </c>
      <c r="P30" s="12">
        <f t="shared" si="5"/>
        <v>183.33174877556905</v>
      </c>
      <c r="Q30" s="2"/>
    </row>
    <row r="31" spans="1:17" x14ac:dyDescent="0.35">
      <c r="A31" t="s">
        <v>30</v>
      </c>
      <c r="C31" s="18">
        <f>SUMIF(data!A1:A213,'Problem 2'!A31&amp;'Problem 2'!C1,data!G1:G213)</f>
        <v>95200</v>
      </c>
      <c r="D31">
        <f>SUMIF(data!A1:A213,'Problem 2'!A31&amp;'Problem 2'!D1,data!H1:H213)</f>
        <v>5000</v>
      </c>
      <c r="E31" s="19">
        <f>SUMIF(data!A1:A213,'Problem 2'!A31&amp;'Problem 2'!E1,data!I1:I213)</f>
        <v>38658200</v>
      </c>
      <c r="F31" s="13">
        <f t="shared" si="0"/>
        <v>5.2521008403361345E-2</v>
      </c>
      <c r="G31" s="12">
        <f t="shared" si="1"/>
        <v>406.0735294117647</v>
      </c>
      <c r="I31" s="18">
        <f>SUMIF(data!A1:A213,'Problem 2'!A31&amp;'Problem 2'!I1,data!G1:G213)</f>
        <v>37700</v>
      </c>
      <c r="J31">
        <f>SUMIF(data!A1:A213,'Problem 2'!A31&amp;'Problem 2'!J1,data!H1:H213)</f>
        <v>3000</v>
      </c>
      <c r="K31" s="19">
        <f>SUMIF(data!A1:A213,'Problem 2'!A31&amp;'Problem 2'!K1,data!I1:I213)</f>
        <v>25422800</v>
      </c>
      <c r="L31" s="13">
        <f t="shared" si="2"/>
        <v>7.9575596816976124E-2</v>
      </c>
      <c r="M31" s="12">
        <f t="shared" si="3"/>
        <v>674.34482758620686</v>
      </c>
      <c r="O31" s="13">
        <f t="shared" si="4"/>
        <v>2.7054588413614779E-2</v>
      </c>
      <c r="P31" s="12">
        <f t="shared" si="5"/>
        <v>268.27129817444217</v>
      </c>
      <c r="Q31" s="2"/>
    </row>
    <row r="32" spans="1:17" x14ac:dyDescent="0.35">
      <c r="A32" t="s">
        <v>31</v>
      </c>
      <c r="C32" s="18">
        <f>SUMIF(data!A1:A213,'Problem 2'!A32&amp;'Problem 2'!C1,data!G1:G213)</f>
        <v>146300</v>
      </c>
      <c r="D32">
        <f>SUMIF(data!A1:A213,'Problem 2'!A32&amp;'Problem 2'!D1,data!H1:H213)</f>
        <v>6700</v>
      </c>
      <c r="E32" s="19">
        <f>SUMIF(data!A1:A213,'Problem 2'!A32&amp;'Problem 2'!E1,data!I1:I213)</f>
        <v>52939500</v>
      </c>
      <c r="F32" s="13">
        <f t="shared" si="0"/>
        <v>4.5796308954203689E-2</v>
      </c>
      <c r="G32" s="12">
        <f t="shared" si="1"/>
        <v>361.85577580314424</v>
      </c>
      <c r="I32" s="18">
        <f>SUMIF(data!A1:A213,'Problem 2'!A32&amp;'Problem 2'!I1,data!G1:G213)</f>
        <v>75600</v>
      </c>
      <c r="J32">
        <f>SUMIF(data!A1:A213,'Problem 2'!A32&amp;'Problem 2'!J1,data!H1:H213)</f>
        <v>5500</v>
      </c>
      <c r="K32" s="19">
        <f>SUMIF(data!A1:A213,'Problem 2'!A32&amp;'Problem 2'!K1,data!I1:I213)</f>
        <v>42948700</v>
      </c>
      <c r="L32" s="13">
        <f t="shared" si="2"/>
        <v>7.2751322751322747E-2</v>
      </c>
      <c r="M32" s="12">
        <f t="shared" si="3"/>
        <v>568.10449735449731</v>
      </c>
      <c r="O32" s="13">
        <f t="shared" si="4"/>
        <v>2.6955013797119058E-2</v>
      </c>
      <c r="P32" s="12">
        <f t="shared" si="5"/>
        <v>206.24872155135307</v>
      </c>
      <c r="Q32" s="2"/>
    </row>
    <row r="33" spans="1:17" x14ac:dyDescent="0.35">
      <c r="A33" t="s">
        <v>32</v>
      </c>
      <c r="C33" s="18">
        <f>SUMIF(data!A1:A213,'Problem 2'!A33&amp;'Problem 2'!C1,data!G1:G213)</f>
        <v>33300</v>
      </c>
      <c r="D33">
        <f>SUMIF(data!A1:A213,'Problem 2'!A33&amp;'Problem 2'!D1,data!H1:H213)</f>
        <v>1400</v>
      </c>
      <c r="E33" s="19">
        <f>SUMIF(data!A1:A213,'Problem 2'!A33&amp;'Problem 2'!E1,data!I1:I213)</f>
        <v>11797800</v>
      </c>
      <c r="F33" s="13">
        <f t="shared" si="0"/>
        <v>4.2042042042042045E-2</v>
      </c>
      <c r="G33" s="12">
        <f t="shared" si="1"/>
        <v>354.2882882882883</v>
      </c>
      <c r="I33" s="18">
        <f>SUMIF(data!A1:A213,'Problem 2'!A33&amp;'Problem 2'!I1,data!G1:G213)</f>
        <v>13500</v>
      </c>
      <c r="J33">
        <f>SUMIF(data!A1:A213,'Problem 2'!A33&amp;'Problem 2'!J1,data!H1:H213)</f>
        <v>900</v>
      </c>
      <c r="K33" s="19">
        <f>SUMIF(data!A1:A213,'Problem 2'!A33&amp;'Problem 2'!K1,data!I1:I213)</f>
        <v>7592200</v>
      </c>
      <c r="L33" s="13">
        <f t="shared" si="2"/>
        <v>6.6666666666666666E-2</v>
      </c>
      <c r="M33" s="12">
        <f t="shared" si="3"/>
        <v>562.38518518518515</v>
      </c>
      <c r="O33" s="13">
        <f t="shared" si="4"/>
        <v>2.4624624624624621E-2</v>
      </c>
      <c r="P33" s="12">
        <f t="shared" si="5"/>
        <v>208.09689689689685</v>
      </c>
      <c r="Q33" s="2"/>
    </row>
    <row r="34" spans="1:17" x14ac:dyDescent="0.35">
      <c r="A34" t="s">
        <v>33</v>
      </c>
      <c r="C34" s="18">
        <f>SUMIF(data!A1:A213,'Problem 2'!A34&amp;'Problem 2'!C1,data!G1:G213)</f>
        <v>56700</v>
      </c>
      <c r="D34">
        <f>SUMIF(data!A1:A213,'Problem 2'!A34&amp;'Problem 2'!D1,data!H1:H213)</f>
        <v>3000</v>
      </c>
      <c r="E34" s="19">
        <f>SUMIF(data!A1:A213,'Problem 2'!A34&amp;'Problem 2'!E1,data!I1:I213)</f>
        <v>24021600</v>
      </c>
      <c r="F34" s="13">
        <f t="shared" si="0"/>
        <v>5.2910052910052907E-2</v>
      </c>
      <c r="G34" s="12">
        <f t="shared" si="1"/>
        <v>423.66137566137564</v>
      </c>
      <c r="I34" s="18">
        <f>SUMIF(data!A1:A213,'Problem 2'!A34&amp;'Problem 2'!I1,data!G1:G213)</f>
        <v>29700</v>
      </c>
      <c r="J34">
        <f>SUMIF(data!A1:A213,'Problem 2'!A34&amp;'Problem 2'!J1,data!H1:H213)</f>
        <v>2400</v>
      </c>
      <c r="K34" s="19">
        <f>SUMIF(data!A1:A213,'Problem 2'!A34&amp;'Problem 2'!K1,data!I1:I213)</f>
        <v>21478700</v>
      </c>
      <c r="L34" s="13">
        <f t="shared" si="2"/>
        <v>8.0808080808080815E-2</v>
      </c>
      <c r="M34" s="12">
        <f t="shared" si="3"/>
        <v>723.18855218855219</v>
      </c>
      <c r="O34" s="13">
        <f t="shared" si="4"/>
        <v>2.7898027898027908E-2</v>
      </c>
      <c r="P34" s="12">
        <f t="shared" si="5"/>
        <v>299.52717652717655</v>
      </c>
      <c r="Q34" s="2"/>
    </row>
    <row r="35" spans="1:17" x14ac:dyDescent="0.35">
      <c r="A35" t="s">
        <v>34</v>
      </c>
      <c r="C35" s="18">
        <f>SUMIF(data!A1:A213,'Problem 2'!A35&amp;'Problem 2'!C1,data!G1:G213)</f>
        <v>69900</v>
      </c>
      <c r="D35">
        <f>SUMIF(data!A1:A213,'Problem 2'!A35&amp;'Problem 2'!D1,data!H1:H213)</f>
        <v>3200</v>
      </c>
      <c r="E35" s="19">
        <f>SUMIF(data!A1:A213,'Problem 2'!A35&amp;'Problem 2'!E1,data!I1:I213)</f>
        <v>26424500</v>
      </c>
      <c r="F35" s="13">
        <f t="shared" si="0"/>
        <v>4.5779685264663805E-2</v>
      </c>
      <c r="G35" s="12">
        <f t="shared" si="1"/>
        <v>378.03290414878398</v>
      </c>
      <c r="I35" s="18">
        <f>SUMIF(data!A1:A213,'Problem 2'!A35&amp;'Problem 2'!I1,data!G1:G213)</f>
        <v>33300</v>
      </c>
      <c r="J35">
        <f>SUMIF(data!A1:A213,'Problem 2'!A35&amp;'Problem 2'!J1,data!H1:H213)</f>
        <v>2300</v>
      </c>
      <c r="K35" s="19">
        <f>SUMIF(data!A1:A213,'Problem 2'!A35&amp;'Problem 2'!K1,data!I1:I213)</f>
        <v>18886900</v>
      </c>
      <c r="L35" s="13">
        <f t="shared" si="2"/>
        <v>6.9069069069069067E-2</v>
      </c>
      <c r="M35" s="12">
        <f t="shared" si="3"/>
        <v>567.17417417417414</v>
      </c>
      <c r="O35" s="13">
        <f t="shared" si="4"/>
        <v>2.3289383804405261E-2</v>
      </c>
      <c r="P35" s="12">
        <f t="shared" si="5"/>
        <v>189.14127002539016</v>
      </c>
      <c r="Q35" s="2"/>
    </row>
    <row r="36" spans="1:17" x14ac:dyDescent="0.35">
      <c r="A36" t="s">
        <v>35</v>
      </c>
      <c r="C36" s="18">
        <f>SUMIF(data!A1:A213,'Problem 2'!A36&amp;'Problem 2'!C1,data!G1:G213)</f>
        <v>42400</v>
      </c>
      <c r="D36">
        <f>SUMIF(data!A1:A213,'Problem 2'!A36&amp;'Problem 2'!D1,data!H1:H213)</f>
        <v>2000</v>
      </c>
      <c r="E36" s="19">
        <f>SUMIF(data!A1:A213,'Problem 2'!A36&amp;'Problem 2'!E1,data!I1:I213)</f>
        <v>16503600</v>
      </c>
      <c r="F36" s="13">
        <f t="shared" si="0"/>
        <v>4.716981132075472E-2</v>
      </c>
      <c r="G36" s="12">
        <f t="shared" si="1"/>
        <v>389.2358490566038</v>
      </c>
      <c r="I36" s="18">
        <f>SUMIF(data!A1:A213,'Problem 2'!A36&amp;'Problem 2'!I1,data!G1:G213)</f>
        <v>17100</v>
      </c>
      <c r="J36">
        <f>SUMIF(data!A1:A213,'Problem 2'!A36&amp;'Problem 2'!J1,data!H1:H213)</f>
        <v>1200</v>
      </c>
      <c r="K36" s="19">
        <f>SUMIF(data!A1:A213,'Problem 2'!A36&amp;'Problem 2'!K1,data!I1:I213)</f>
        <v>9629900</v>
      </c>
      <c r="L36" s="13">
        <f t="shared" si="2"/>
        <v>7.0175438596491224E-2</v>
      </c>
      <c r="M36" s="12">
        <f t="shared" si="3"/>
        <v>563.15204678362568</v>
      </c>
      <c r="O36" s="13">
        <f t="shared" si="4"/>
        <v>2.3005627275736504E-2</v>
      </c>
      <c r="P36" s="12">
        <f t="shared" si="5"/>
        <v>173.91619772702188</v>
      </c>
      <c r="Q36" s="2"/>
    </row>
    <row r="37" spans="1:17" x14ac:dyDescent="0.35">
      <c r="A37" t="s">
        <v>36</v>
      </c>
      <c r="C37" s="18">
        <f>SUMIF(data!A1:A213,'Problem 2'!A37&amp;'Problem 2'!C1,data!G1:G213)</f>
        <v>228400</v>
      </c>
      <c r="D37">
        <f>SUMIF(data!A1:A213,'Problem 2'!A37&amp;'Problem 2'!D1,data!H1:H213)</f>
        <v>8000</v>
      </c>
      <c r="E37" s="19">
        <f>SUMIF(data!A1:A213,'Problem 2'!A37&amp;'Problem 2'!E1,data!I1:I213)</f>
        <v>65737600</v>
      </c>
      <c r="F37" s="13">
        <f t="shared" si="0"/>
        <v>3.5026269702276708E-2</v>
      </c>
      <c r="G37" s="12">
        <f t="shared" si="1"/>
        <v>287.81786339754814</v>
      </c>
      <c r="I37" s="18">
        <f>SUMIF(data!A1:A213,'Problem 2'!A37&amp;'Problem 2'!I1,data!G1:G213)</f>
        <v>103200</v>
      </c>
      <c r="J37">
        <f>SUMIF(data!A1:A213,'Problem 2'!A37&amp;'Problem 2'!J1,data!H1:H213)</f>
        <v>5900</v>
      </c>
      <c r="K37" s="19">
        <f>SUMIF(data!A1:A213,'Problem 2'!A37&amp;'Problem 2'!K1,data!I1:I213)</f>
        <v>45807500</v>
      </c>
      <c r="L37" s="13">
        <f t="shared" si="2"/>
        <v>5.7170542635658912E-2</v>
      </c>
      <c r="M37" s="12">
        <f t="shared" si="3"/>
        <v>443.87112403100775</v>
      </c>
      <c r="O37" s="13">
        <f t="shared" si="4"/>
        <v>2.2144272933382204E-2</v>
      </c>
      <c r="P37" s="12">
        <f t="shared" si="5"/>
        <v>156.05326063345962</v>
      </c>
      <c r="Q37" s="2"/>
    </row>
    <row r="38" spans="1:17" x14ac:dyDescent="0.35">
      <c r="A38" t="s">
        <v>37</v>
      </c>
      <c r="C38" s="18">
        <f>SUMIF(data!A1:A213,'Problem 2'!A38&amp;'Problem 2'!C1,data!G1:G213)</f>
        <v>79800</v>
      </c>
      <c r="D38">
        <f>SUMIF(data!A1:A213,'Problem 2'!A38&amp;'Problem 2'!D1,data!H1:H213)</f>
        <v>4000</v>
      </c>
      <c r="E38" s="19">
        <f>SUMIF(data!A1:A213,'Problem 2'!A38&amp;'Problem 2'!E1,data!I1:I213)</f>
        <v>32091200</v>
      </c>
      <c r="F38" s="13">
        <f t="shared" si="0"/>
        <v>5.0125313283208017E-2</v>
      </c>
      <c r="G38" s="12">
        <f t="shared" si="1"/>
        <v>402.14536340852129</v>
      </c>
      <c r="I38" s="18">
        <f>SUMIF(data!A1:A213,'Problem 2'!A38&amp;'Problem 2'!I1,data!G1:G213)</f>
        <v>31700</v>
      </c>
      <c r="J38">
        <f>SUMIF(data!A1:A213,'Problem 2'!A38&amp;'Problem 2'!J1,data!H1:H213)</f>
        <v>2500</v>
      </c>
      <c r="K38" s="19">
        <f>SUMIF(data!A1:A213,'Problem 2'!A38&amp;'Problem 2'!K1,data!I1:I213)</f>
        <v>20312900</v>
      </c>
      <c r="L38" s="13">
        <f t="shared" si="2"/>
        <v>7.8864353312302835E-2</v>
      </c>
      <c r="M38" s="12">
        <f t="shared" si="3"/>
        <v>640.78548895899053</v>
      </c>
      <c r="O38" s="13">
        <f t="shared" si="4"/>
        <v>2.8739040029094817E-2</v>
      </c>
      <c r="P38" s="12">
        <f t="shared" si="5"/>
        <v>238.64012555046924</v>
      </c>
      <c r="Q38" s="2"/>
    </row>
    <row r="39" spans="1:17" x14ac:dyDescent="0.35">
      <c r="A39" t="s">
        <v>38</v>
      </c>
      <c r="C39" s="18">
        <f>SUMIF(data!A1:A213,'Problem 2'!A39&amp;'Problem 2'!C1,data!G1:G213)</f>
        <v>657500</v>
      </c>
      <c r="D39">
        <f>SUMIF(data!A1:A213,'Problem 2'!A39&amp;'Problem 2'!D1,data!H1:H213)</f>
        <v>29200</v>
      </c>
      <c r="E39" s="19">
        <f>SUMIF(data!A1:A213,'Problem 2'!A39&amp;'Problem 2'!E1,data!I1:I213)</f>
        <v>244747900</v>
      </c>
      <c r="F39" s="13">
        <f t="shared" si="0"/>
        <v>4.4410646387832702E-2</v>
      </c>
      <c r="G39" s="12">
        <f t="shared" si="1"/>
        <v>372.24015209125474</v>
      </c>
      <c r="I39" s="18">
        <f>SUMIF(data!A1:A213,'Problem 2'!A39&amp;'Problem 2'!I1,data!G1:G213)</f>
        <v>259800</v>
      </c>
      <c r="J39">
        <f>SUMIF(data!A1:A213,'Problem 2'!A39&amp;'Problem 2'!J1,data!H1:H213)</f>
        <v>16600</v>
      </c>
      <c r="K39" s="19">
        <f>SUMIF(data!A1:A213,'Problem 2'!A39&amp;'Problem 2'!K1,data!I1:I213)</f>
        <v>139356800</v>
      </c>
      <c r="L39" s="13">
        <f t="shared" si="2"/>
        <v>6.3895304080061582E-2</v>
      </c>
      <c r="M39" s="12">
        <f t="shared" si="3"/>
        <v>536.40030792917628</v>
      </c>
      <c r="O39" s="13">
        <f t="shared" si="4"/>
        <v>1.9484657692228881E-2</v>
      </c>
      <c r="P39" s="12">
        <f t="shared" si="5"/>
        <v>164.16015583792154</v>
      </c>
      <c r="Q39" s="2"/>
    </row>
    <row r="40" spans="1:17" x14ac:dyDescent="0.35">
      <c r="A40" t="s">
        <v>39</v>
      </c>
      <c r="C40" s="18">
        <f>SUMIF(data!A1:A213,'Problem 2'!A40&amp;'Problem 2'!C1,data!G1:G213)</f>
        <v>246800</v>
      </c>
      <c r="D40">
        <f>SUMIF(data!A1:A213,'Problem 2'!A40&amp;'Problem 2'!D1,data!H1:H213)</f>
        <v>12600</v>
      </c>
      <c r="E40" s="19">
        <f>SUMIF(data!A1:A213,'Problem 2'!A40&amp;'Problem 2'!E1,data!I1:I213)</f>
        <v>99474800</v>
      </c>
      <c r="F40" s="13">
        <f t="shared" si="0"/>
        <v>5.1053484602917344E-2</v>
      </c>
      <c r="G40" s="12">
        <f t="shared" si="1"/>
        <v>403.05834683954618</v>
      </c>
      <c r="I40" s="18">
        <f>SUMIF(data!A1:A213,'Problem 2'!A40&amp;'Problem 2'!I1,data!G1:G213)</f>
        <v>103900</v>
      </c>
      <c r="J40">
        <f>SUMIF(data!A1:A213,'Problem 2'!A40&amp;'Problem 2'!J1,data!H1:H213)</f>
        <v>7800</v>
      </c>
      <c r="K40" s="19">
        <f>SUMIF(data!A1:A213,'Problem 2'!A40&amp;'Problem 2'!K1,data!I1:I213)</f>
        <v>68780700</v>
      </c>
      <c r="L40" s="13">
        <f t="shared" si="2"/>
        <v>7.5072184793070262E-2</v>
      </c>
      <c r="M40" s="12">
        <f t="shared" si="3"/>
        <v>661.98941289701634</v>
      </c>
      <c r="O40" s="13">
        <f t="shared" si="4"/>
        <v>2.4018700190152918E-2</v>
      </c>
      <c r="P40" s="12">
        <f t="shared" si="5"/>
        <v>258.93106605747016</v>
      </c>
      <c r="Q40" s="2"/>
    </row>
    <row r="41" spans="1:17" x14ac:dyDescent="0.35">
      <c r="A41" t="s">
        <v>40</v>
      </c>
      <c r="C41" s="18">
        <f>SUMIF(data!A1:A213,'Problem 2'!A41&amp;'Problem 2'!C1,data!G1:G213)</f>
        <v>23100</v>
      </c>
      <c r="D41">
        <f>SUMIF(data!A1:A213,'Problem 2'!A41&amp;'Problem 2'!D1,data!H1:H213)</f>
        <v>1100</v>
      </c>
      <c r="E41" s="19">
        <f>SUMIF(data!A1:A213,'Problem 2'!A41&amp;'Problem 2'!E1,data!I1:I213)</f>
        <v>8663600</v>
      </c>
      <c r="F41" s="13">
        <f t="shared" si="0"/>
        <v>4.7619047619047616E-2</v>
      </c>
      <c r="G41" s="12">
        <f t="shared" si="1"/>
        <v>375.04761904761904</v>
      </c>
      <c r="I41" s="18">
        <f>SUMIF(data!A1:A213,'Problem 2'!A41&amp;'Problem 2'!I1,data!G1:G213)</f>
        <v>11600</v>
      </c>
      <c r="J41">
        <f>SUMIF(data!A1:A213,'Problem 2'!A41&amp;'Problem 2'!J1,data!H1:H213)</f>
        <v>800</v>
      </c>
      <c r="K41" s="19">
        <f>SUMIF(data!A1:A213,'Problem 2'!A41&amp;'Problem 2'!K1,data!I1:I213)</f>
        <v>6681600</v>
      </c>
      <c r="L41" s="13">
        <f t="shared" si="2"/>
        <v>6.8965517241379309E-2</v>
      </c>
      <c r="M41" s="12">
        <f t="shared" si="3"/>
        <v>576</v>
      </c>
      <c r="O41" s="13">
        <f t="shared" si="4"/>
        <v>2.1346469622331693E-2</v>
      </c>
      <c r="P41" s="12">
        <f t="shared" si="5"/>
        <v>200.95238095238096</v>
      </c>
      <c r="Q41" s="2"/>
    </row>
    <row r="42" spans="1:17" x14ac:dyDescent="0.35">
      <c r="A42" t="s">
        <v>41</v>
      </c>
      <c r="C42" s="18">
        <f>SUMIF(data!A1:A213,'Problem 2'!A42&amp;'Problem 2'!C1,data!G1:G213)</f>
        <v>348900</v>
      </c>
      <c r="D42">
        <f>SUMIF(data!A1:A213,'Problem 2'!A42&amp;'Problem 2'!D1,data!H1:H213)</f>
        <v>15500</v>
      </c>
      <c r="E42" s="19">
        <f>SUMIF(data!A1:A213,'Problem 2'!A42&amp;'Problem 2'!E1,data!I1:I213)</f>
        <v>127585800</v>
      </c>
      <c r="F42" s="13">
        <f t="shared" si="0"/>
        <v>4.4425336772714243E-2</v>
      </c>
      <c r="G42" s="12">
        <f t="shared" si="1"/>
        <v>365.68013757523647</v>
      </c>
      <c r="I42" s="18">
        <f>SUMIF(data!A1:A213,'Problem 2'!A42&amp;'Problem 2'!I1,data!G1:G213)</f>
        <v>152600</v>
      </c>
      <c r="J42">
        <f>SUMIF(data!A1:A213,'Problem 2'!A42&amp;'Problem 2'!J1,data!H1:H213)</f>
        <v>9900</v>
      </c>
      <c r="K42" s="19">
        <f>SUMIF(data!A1:A213,'Problem 2'!A42&amp;'Problem 2'!K1,data!I1:I213)</f>
        <v>80366100</v>
      </c>
      <c r="L42" s="13">
        <f t="shared" si="2"/>
        <v>6.487549148099607E-2</v>
      </c>
      <c r="M42" s="12">
        <f t="shared" si="3"/>
        <v>526.64547837483622</v>
      </c>
      <c r="O42" s="13">
        <f t="shared" si="4"/>
        <v>2.0450154708281827E-2</v>
      </c>
      <c r="P42" s="12">
        <f t="shared" si="5"/>
        <v>160.96534079959974</v>
      </c>
      <c r="Q42" s="2"/>
    </row>
    <row r="43" spans="1:17" x14ac:dyDescent="0.35">
      <c r="A43" t="s">
        <v>42</v>
      </c>
      <c r="C43" s="18">
        <f>SUMIF(data!A1:A213,'Problem 2'!A43&amp;'Problem 2'!C1,data!G1:G213)</f>
        <v>101900</v>
      </c>
      <c r="D43">
        <f>SUMIF(data!A1:A213,'Problem 2'!A43&amp;'Problem 2'!D1,data!H1:H213)</f>
        <v>4500</v>
      </c>
      <c r="E43" s="19">
        <f>SUMIF(data!A1:A213,'Problem 2'!A43&amp;'Problem 2'!E1,data!I1:I213)</f>
        <v>35591200</v>
      </c>
      <c r="F43" s="13">
        <f t="shared" si="0"/>
        <v>4.4160942100098133E-2</v>
      </c>
      <c r="G43" s="12">
        <f t="shared" si="1"/>
        <v>349.27576054955841</v>
      </c>
      <c r="I43" s="18">
        <f>SUMIF(data!A1:A213,'Problem 2'!A43&amp;'Problem 2'!I1,data!G1:G213)</f>
        <v>46900</v>
      </c>
      <c r="J43">
        <f>SUMIF(data!A1:A213,'Problem 2'!A43&amp;'Problem 2'!J1,data!H1:H213)</f>
        <v>3100</v>
      </c>
      <c r="K43" s="19">
        <f>SUMIF(data!A1:A213,'Problem 2'!A43&amp;'Problem 2'!K1,data!I1:I213)</f>
        <v>25249600</v>
      </c>
      <c r="L43" s="13">
        <f t="shared" si="2"/>
        <v>6.6098081023454158E-2</v>
      </c>
      <c r="M43" s="12">
        <f t="shared" si="3"/>
        <v>538.37100213219617</v>
      </c>
      <c r="O43" s="13">
        <f t="shared" si="4"/>
        <v>2.1937138923356025E-2</v>
      </c>
      <c r="P43" s="12">
        <f t="shared" si="5"/>
        <v>189.09524158263775</v>
      </c>
      <c r="Q43" s="2"/>
    </row>
    <row r="44" spans="1:17" x14ac:dyDescent="0.35">
      <c r="A44" t="s">
        <v>43</v>
      </c>
      <c r="C44" s="18">
        <f>SUMIF(data!A1:A213,'Problem 2'!A44&amp;'Problem 2'!C1,data!G1:G213)</f>
        <v>109700</v>
      </c>
      <c r="D44">
        <f>SUMIF(data!A1:A213,'Problem 2'!A44&amp;'Problem 2'!D1,data!H1:H213)</f>
        <v>6800</v>
      </c>
      <c r="E44" s="19">
        <f>SUMIF(data!A1:A213,'Problem 2'!A44&amp;'Problem 2'!E1,data!I1:I213)</f>
        <v>54709500</v>
      </c>
      <c r="F44" s="13">
        <f t="shared" si="0"/>
        <v>6.1987237921604377E-2</v>
      </c>
      <c r="G44" s="12">
        <f t="shared" si="1"/>
        <v>498.71923427529629</v>
      </c>
      <c r="I44" s="18">
        <f>SUMIF(data!A1:A213,'Problem 2'!A44&amp;'Problem 2'!I1,data!G1:G213)</f>
        <v>50400</v>
      </c>
      <c r="J44">
        <f>SUMIF(data!A1:A213,'Problem 2'!A44&amp;'Problem 2'!J1,data!H1:H213)</f>
        <v>4500</v>
      </c>
      <c r="K44" s="19">
        <f>SUMIF(data!A1:A213,'Problem 2'!A44&amp;'Problem 2'!K1,data!I1:I213)</f>
        <v>36050300</v>
      </c>
      <c r="L44" s="13">
        <f t="shared" si="2"/>
        <v>8.9285714285714288E-2</v>
      </c>
      <c r="M44" s="12">
        <f t="shared" si="3"/>
        <v>715.28373015873012</v>
      </c>
      <c r="O44" s="13">
        <f t="shared" si="4"/>
        <v>2.7298476364109911E-2</v>
      </c>
      <c r="P44" s="12">
        <f t="shared" si="5"/>
        <v>216.56449588343384</v>
      </c>
      <c r="Q44" s="2"/>
    </row>
    <row r="45" spans="1:17" x14ac:dyDescent="0.35">
      <c r="A45" t="s">
        <v>44</v>
      </c>
      <c r="C45" s="18">
        <f>SUMIF(data!A1:A213,'Problem 2'!A45&amp;'Problem 2'!C1,data!G1:G213)</f>
        <v>329500</v>
      </c>
      <c r="D45">
        <f>SUMIF(data!A1:A213,'Problem 2'!A45&amp;'Problem 2'!D1,data!H1:H213)</f>
        <v>19800</v>
      </c>
      <c r="E45" s="19">
        <f>SUMIF(data!A1:A213,'Problem 2'!A45&amp;'Problem 2'!E1,data!I1:I213)</f>
        <v>162799900</v>
      </c>
      <c r="F45" s="13">
        <f t="shared" si="0"/>
        <v>6.0091047040971166E-2</v>
      </c>
      <c r="G45" s="12">
        <f t="shared" si="1"/>
        <v>494.08163884673746</v>
      </c>
      <c r="I45" s="18">
        <f>SUMIF(data!A1:A213,'Problem 2'!A45&amp;'Problem 2'!I1,data!G1:G213)</f>
        <v>137000</v>
      </c>
      <c r="J45">
        <f>SUMIF(data!A1:A213,'Problem 2'!A45&amp;'Problem 2'!J1,data!H1:H213)</f>
        <v>10700</v>
      </c>
      <c r="K45" s="19">
        <f>SUMIF(data!A1:A213,'Problem 2'!A45&amp;'Problem 2'!K1,data!I1:I213)</f>
        <v>81017700</v>
      </c>
      <c r="L45" s="13">
        <f t="shared" si="2"/>
        <v>7.8102189781021902E-2</v>
      </c>
      <c r="M45" s="12">
        <f t="shared" si="3"/>
        <v>591.37007299270078</v>
      </c>
      <c r="O45" s="13">
        <f t="shared" si="4"/>
        <v>1.8011142740050737E-2</v>
      </c>
      <c r="P45" s="12">
        <f t="shared" si="5"/>
        <v>97.288434145963322</v>
      </c>
      <c r="Q45" s="2"/>
    </row>
    <row r="46" spans="1:17" x14ac:dyDescent="0.35">
      <c r="A46" t="s">
        <v>45</v>
      </c>
      <c r="C46" s="18">
        <f>SUMIF(data!A1:A213,'Problem 2'!A46&amp;'Problem 2'!C1,data!G1:G213)</f>
        <v>23300</v>
      </c>
      <c r="D46">
        <f>SUMIF(data!A1:A213,'Problem 2'!A46&amp;'Problem 2'!D1,data!H1:H213)</f>
        <v>900</v>
      </c>
      <c r="E46" s="19">
        <f>SUMIF(data!A1:A213,'Problem 2'!A46&amp;'Problem 2'!E1,data!I1:I213)</f>
        <v>7183700</v>
      </c>
      <c r="F46" s="13">
        <f t="shared" si="0"/>
        <v>3.8626609442060089E-2</v>
      </c>
      <c r="G46" s="12">
        <f t="shared" si="1"/>
        <v>308.31330472103002</v>
      </c>
      <c r="I46" s="18">
        <f>SUMIF(data!A1:A213,'Problem 2'!A46&amp;'Problem 2'!I1,data!G1:G213)</f>
        <v>10200</v>
      </c>
      <c r="J46">
        <f>SUMIF(data!A1:A213,'Problem 2'!A46&amp;'Problem 2'!J1,data!H1:H213)</f>
        <v>700</v>
      </c>
      <c r="K46" s="19">
        <f>SUMIF(data!A1:A213,'Problem 2'!A46&amp;'Problem 2'!K1,data!I1:I213)</f>
        <v>6020000</v>
      </c>
      <c r="L46" s="13">
        <f t="shared" si="2"/>
        <v>6.8627450980392163E-2</v>
      </c>
      <c r="M46" s="12">
        <f t="shared" si="3"/>
        <v>590.1960784313726</v>
      </c>
      <c r="O46" s="13">
        <f t="shared" si="4"/>
        <v>3.0000841538332074E-2</v>
      </c>
      <c r="P46" s="12">
        <f t="shared" si="5"/>
        <v>281.88277371034258</v>
      </c>
      <c r="Q46" s="2"/>
    </row>
    <row r="47" spans="1:17" x14ac:dyDescent="0.35">
      <c r="A47" t="s">
        <v>46</v>
      </c>
      <c r="C47" s="18">
        <f>SUMIF(data!A1:A213,'Problem 2'!A47&amp;'Problem 2'!C1,data!G1:G213)</f>
        <v>105700</v>
      </c>
      <c r="D47">
        <f>SUMIF(data!A1:A213,'Problem 2'!A47&amp;'Problem 2'!D1,data!H1:H213)</f>
        <v>4700</v>
      </c>
      <c r="E47" s="19">
        <f>SUMIF(data!A1:A213,'Problem 2'!A47&amp;'Problem 2'!E1,data!I1:I213)</f>
        <v>38829700</v>
      </c>
      <c r="F47" s="13">
        <f t="shared" si="0"/>
        <v>4.4465468306527908E-2</v>
      </c>
      <c r="G47" s="12">
        <f t="shared" si="1"/>
        <v>367.35761589403972</v>
      </c>
      <c r="I47" s="18">
        <f>SUMIF(data!A1:A213,'Problem 2'!A47&amp;'Problem 2'!I1,data!G1:G213)</f>
        <v>48000</v>
      </c>
      <c r="J47">
        <f>SUMIF(data!A1:A213,'Problem 2'!A47&amp;'Problem 2'!J1,data!H1:H213)</f>
        <v>3300</v>
      </c>
      <c r="K47" s="19">
        <f>SUMIF(data!A1:A213,'Problem 2'!A47&amp;'Problem 2'!K1,data!I1:I213)</f>
        <v>27532100</v>
      </c>
      <c r="L47" s="13">
        <f t="shared" si="2"/>
        <v>6.8750000000000006E-2</v>
      </c>
      <c r="M47" s="12">
        <f t="shared" si="3"/>
        <v>573.58541666666667</v>
      </c>
      <c r="O47" s="13">
        <f t="shared" si="4"/>
        <v>2.4284531693472097E-2</v>
      </c>
      <c r="P47" s="12">
        <f t="shared" si="5"/>
        <v>206.22780077262695</v>
      </c>
      <c r="Q47" s="2"/>
    </row>
    <row r="48" spans="1:17" x14ac:dyDescent="0.35">
      <c r="A48" t="s">
        <v>47</v>
      </c>
      <c r="C48" s="18">
        <f>SUMIF(data!A1:A213,'Problem 2'!A48&amp;'Problem 2'!C1,data!G1:G213)</f>
        <v>27800</v>
      </c>
      <c r="D48">
        <f>SUMIF(data!A1:A213,'Problem 2'!A48&amp;'Problem 2'!D1,data!H1:H213)</f>
        <v>1400</v>
      </c>
      <c r="E48" s="19">
        <f>SUMIF(data!A1:A213,'Problem 2'!A48&amp;'Problem 2'!E1,data!I1:I213)</f>
        <v>11038800</v>
      </c>
      <c r="F48" s="13">
        <f t="shared" si="0"/>
        <v>5.0359712230215826E-2</v>
      </c>
      <c r="G48" s="12">
        <f t="shared" si="1"/>
        <v>397.07913669064749</v>
      </c>
      <c r="I48" s="18">
        <f>SUMIF(data!A1:A213,'Problem 2'!A48&amp;'Problem 2'!I1,data!G1:G213)</f>
        <v>10600</v>
      </c>
      <c r="J48">
        <f>SUMIF(data!A1:A213,'Problem 2'!A48&amp;'Problem 2'!J1,data!H1:H213)</f>
        <v>900</v>
      </c>
      <c r="K48" s="19">
        <f>SUMIF(data!A1:A213,'Problem 2'!A48&amp;'Problem 2'!K1,data!I1:I213)</f>
        <v>7532700</v>
      </c>
      <c r="L48" s="13">
        <f t="shared" si="2"/>
        <v>8.4905660377358486E-2</v>
      </c>
      <c r="M48" s="12">
        <f t="shared" si="3"/>
        <v>710.63207547169816</v>
      </c>
      <c r="O48" s="13">
        <f t="shared" si="4"/>
        <v>3.4545948147142659E-2</v>
      </c>
      <c r="P48" s="12">
        <f t="shared" si="5"/>
        <v>313.55293878105067</v>
      </c>
      <c r="Q48" s="2"/>
    </row>
    <row r="49" spans="1:17" x14ac:dyDescent="0.35">
      <c r="A49" t="s">
        <v>48</v>
      </c>
      <c r="C49" s="18">
        <f>SUMIF(data!A1:A213,'Problem 2'!A49&amp;'Problem 2'!C1,data!G1:G213)</f>
        <v>210100</v>
      </c>
      <c r="D49">
        <f>SUMIF(data!A1:A213,'Problem 2'!A49&amp;'Problem 2'!D1,data!H1:H213)</f>
        <v>8500</v>
      </c>
      <c r="E49" s="19">
        <f>SUMIF(data!A1:A213,'Problem 2'!A49&amp;'Problem 2'!E1,data!I1:I213)</f>
        <v>68928500</v>
      </c>
      <c r="F49" s="13">
        <f t="shared" si="0"/>
        <v>4.0456925273679202E-2</v>
      </c>
      <c r="G49" s="12">
        <f t="shared" si="1"/>
        <v>328.07472632079964</v>
      </c>
      <c r="I49" s="18">
        <f>SUMIF(data!A1:A213,'Problem 2'!A49&amp;'Problem 2'!I1,data!G1:G213)</f>
        <v>85600</v>
      </c>
      <c r="J49">
        <f>SUMIF(data!A1:A213,'Problem 2'!A49&amp;'Problem 2'!J1,data!H1:H213)</f>
        <v>5400</v>
      </c>
      <c r="K49" s="19">
        <f>SUMIF(data!A1:A213,'Problem 2'!A49&amp;'Problem 2'!K1,data!I1:I213)</f>
        <v>44878800</v>
      </c>
      <c r="L49" s="13">
        <f t="shared" si="2"/>
        <v>6.3084112149532703E-2</v>
      </c>
      <c r="M49" s="12">
        <f t="shared" si="3"/>
        <v>524.28504672897191</v>
      </c>
      <c r="O49" s="13">
        <f t="shared" si="4"/>
        <v>2.2627186875853501E-2</v>
      </c>
      <c r="P49" s="12">
        <f t="shared" si="5"/>
        <v>196.21032040817227</v>
      </c>
      <c r="Q49" s="2"/>
    </row>
    <row r="50" spans="1:17" x14ac:dyDescent="0.35">
      <c r="A50" s="15" t="s">
        <v>49</v>
      </c>
      <c r="B50" s="15"/>
      <c r="C50" s="20">
        <f>SUMIF(data!A1:A213,'Problem 2'!A50&amp;'Problem 2'!C1,data!G1:G213)</f>
        <v>525700</v>
      </c>
      <c r="D50" s="15">
        <f>SUMIF(data!A1:A213,'Problem 2'!A50&amp;'Problem 2'!D1,data!H1:H213)</f>
        <v>21500</v>
      </c>
      <c r="E50" s="21">
        <f>SUMIF(data!A1:A213,'Problem 2'!A50&amp;'Problem 2'!E1,data!I1:I213)</f>
        <v>196334800</v>
      </c>
      <c r="F50" s="22">
        <f t="shared" si="0"/>
        <v>4.0897850485067527E-2</v>
      </c>
      <c r="G50" s="23">
        <f t="shared" si="1"/>
        <v>373.47308350770402</v>
      </c>
      <c r="H50" s="15"/>
      <c r="I50" s="20">
        <f>SUMIF(data!A1:A213,'Problem 2'!A50&amp;'Problem 2'!I1,data!G1:G213)</f>
        <v>223600</v>
      </c>
      <c r="J50" s="15">
        <f>SUMIF(data!A1:A213,'Problem 2'!A50&amp;'Problem 2'!J1,data!H1:H213)</f>
        <v>15600</v>
      </c>
      <c r="K50" s="21">
        <f>SUMIF(data!A1:A213,'Problem 2'!A50&amp;'Problem 2'!K1,data!I1:I213)</f>
        <v>123403300</v>
      </c>
      <c r="L50" s="22">
        <f t="shared" si="2"/>
        <v>6.9767441860465115E-2</v>
      </c>
      <c r="M50" s="23">
        <f t="shared" si="3"/>
        <v>551.89311270125222</v>
      </c>
      <c r="N50" s="15"/>
      <c r="O50" s="22">
        <f t="shared" si="4"/>
        <v>2.8869591375397588E-2</v>
      </c>
      <c r="P50" s="23">
        <f t="shared" si="5"/>
        <v>178.4200291935482</v>
      </c>
      <c r="Q50" s="2"/>
    </row>
    <row r="51" spans="1:17" x14ac:dyDescent="0.35">
      <c r="A51" t="s">
        <v>50</v>
      </c>
      <c r="C51" s="18">
        <f>SUMIF(data!A1:A213,'Problem 2'!A51&amp;'Problem 2'!C1,data!G1:G213)</f>
        <v>56600</v>
      </c>
      <c r="D51">
        <f>SUMIF(data!A1:A213,'Problem 2'!A51&amp;'Problem 2'!D1,data!H1:H213)</f>
        <v>2800</v>
      </c>
      <c r="E51" s="19">
        <f>SUMIF(data!A1:A213,'Problem 2'!A51&amp;'Problem 2'!E1,data!I1:I213)</f>
        <v>23254400</v>
      </c>
      <c r="F51" s="13">
        <f t="shared" si="0"/>
        <v>4.9469964664310952E-2</v>
      </c>
      <c r="G51" s="12">
        <f t="shared" si="1"/>
        <v>410.85512367491168</v>
      </c>
      <c r="I51" s="18">
        <f>SUMIF(data!A1:A213,'Problem 2'!A51&amp;'Problem 2'!I1,data!G1:G213)</f>
        <v>22000</v>
      </c>
      <c r="J51">
        <f>SUMIF(data!A1:A213,'Problem 2'!A51&amp;'Problem 2'!J1,data!H1:H213)</f>
        <v>1600</v>
      </c>
      <c r="K51" s="19">
        <f>SUMIF(data!A1:A213,'Problem 2'!A51&amp;'Problem 2'!K1,data!I1:I213)</f>
        <v>12727600</v>
      </c>
      <c r="L51" s="13">
        <f t="shared" si="2"/>
        <v>7.2727272727272724E-2</v>
      </c>
      <c r="M51" s="12">
        <f t="shared" si="3"/>
        <v>578.5272727272727</v>
      </c>
      <c r="O51" s="13">
        <f t="shared" si="4"/>
        <v>2.3257308062961772E-2</v>
      </c>
      <c r="P51" s="12">
        <f t="shared" si="5"/>
        <v>167.67214905236102</v>
      </c>
      <c r="Q51" s="2"/>
    </row>
    <row r="52" spans="1:17" x14ac:dyDescent="0.35">
      <c r="A52" t="s">
        <v>51</v>
      </c>
      <c r="C52" s="18">
        <f>SUMIF(data!A1:A213,'Problem 2'!A52&amp;'Problem 2'!C1,data!G1:G213)</f>
        <v>21900</v>
      </c>
      <c r="D52">
        <f>SUMIF(data!A1:A213,'Problem 2'!A52&amp;'Problem 2'!D1,data!H1:H213)</f>
        <v>900</v>
      </c>
      <c r="E52" s="19">
        <f>SUMIF(data!A1:A213,'Problem 2'!A52&amp;'Problem 2'!E1,data!I1:I213)</f>
        <v>7211700</v>
      </c>
      <c r="F52" s="13">
        <f t="shared" si="0"/>
        <v>4.1095890410958902E-2</v>
      </c>
      <c r="G52" s="12">
        <f t="shared" si="1"/>
        <v>329.30136986301369</v>
      </c>
      <c r="I52" s="18">
        <f>SUMIF(data!A1:A213,'Problem 2'!A52&amp;'Problem 2'!I1,data!G1:G213)</f>
        <v>9700</v>
      </c>
      <c r="J52">
        <f>SUMIF(data!A1:A213,'Problem 2'!A52&amp;'Problem 2'!J1,data!H1:H213)</f>
        <v>600</v>
      </c>
      <c r="K52" s="19">
        <f>SUMIF(data!A1:A213,'Problem 2'!A52&amp;'Problem 2'!K1,data!I1:I213)</f>
        <v>5018300</v>
      </c>
      <c r="L52" s="13">
        <f t="shared" si="2"/>
        <v>6.1855670103092786E-2</v>
      </c>
      <c r="M52" s="12">
        <f t="shared" si="3"/>
        <v>517.35051546391753</v>
      </c>
      <c r="O52" s="13">
        <f t="shared" si="4"/>
        <v>2.0759779692133884E-2</v>
      </c>
      <c r="P52" s="12">
        <f t="shared" si="5"/>
        <v>188.04914560090384</v>
      </c>
      <c r="Q52" s="2"/>
    </row>
    <row r="53" spans="1:17" x14ac:dyDescent="0.35">
      <c r="A53" t="s">
        <v>52</v>
      </c>
      <c r="C53" s="18">
        <f>SUMIF(data!A1:A213,'Problem 2'!A53&amp;'Problem 2'!C1,data!G1:G213)</f>
        <v>277700</v>
      </c>
      <c r="D53">
        <f>SUMIF(data!A1:A213,'Problem 2'!A53&amp;'Problem 2'!D1,data!H1:H213)</f>
        <v>15200</v>
      </c>
      <c r="E53" s="19">
        <f>SUMIF(data!A1:A213,'Problem 2'!A53&amp;'Problem 2'!E1,data!I1:I213)</f>
        <v>127684900</v>
      </c>
      <c r="F53" s="13">
        <f t="shared" si="0"/>
        <v>5.4735325891249548E-2</v>
      </c>
      <c r="G53" s="12">
        <f t="shared" si="1"/>
        <v>459.7943824270796</v>
      </c>
      <c r="I53" s="18">
        <f>SUMIF(data!A1:A213,'Problem 2'!A53&amp;'Problem 2'!I1,data!G1:G213)</f>
        <v>94400</v>
      </c>
      <c r="J53">
        <f>SUMIF(data!A1:A213,'Problem 2'!A53&amp;'Problem 2'!J1,data!H1:H213)</f>
        <v>7700</v>
      </c>
      <c r="K53" s="19">
        <f>SUMIF(data!A1:A213,'Problem 2'!A53&amp;'Problem 2'!K1,data!I1:I213)</f>
        <v>64102800</v>
      </c>
      <c r="L53" s="13">
        <f t="shared" si="2"/>
        <v>8.1567796610169496E-2</v>
      </c>
      <c r="M53" s="12">
        <f t="shared" si="3"/>
        <v>679.05508474576266</v>
      </c>
      <c r="O53" s="13">
        <f t="shared" si="4"/>
        <v>2.6832470718919949E-2</v>
      </c>
      <c r="P53" s="12">
        <f t="shared" si="5"/>
        <v>219.26070231868306</v>
      </c>
      <c r="Q53" s="2"/>
    </row>
    <row r="54" spans="1:17" x14ac:dyDescent="0.35">
      <c r="A54" t="s">
        <v>53</v>
      </c>
      <c r="C54" s="18">
        <f>SUMIF(data!A1:A213,'Problem 2'!A54&amp;'Problem 2'!C1,data!G1:G213)</f>
        <v>131300</v>
      </c>
      <c r="D54">
        <f>SUMIF(data!A1:A213,'Problem 2'!A54&amp;'Problem 2'!D1,data!H1:H213)</f>
        <v>6100</v>
      </c>
      <c r="E54" s="19">
        <f>SUMIF(data!A1:A213,'Problem 2'!A54&amp;'Problem 2'!E1,data!I1:I213)</f>
        <v>51537300</v>
      </c>
      <c r="F54" s="13">
        <f t="shared" si="0"/>
        <v>4.6458492003046456E-2</v>
      </c>
      <c r="G54" s="12">
        <f t="shared" si="1"/>
        <v>392.51561309977154</v>
      </c>
      <c r="I54" s="18">
        <f>SUMIF(data!A1:A213,'Problem 2'!A54&amp;'Problem 2'!I1,data!G1:G213)</f>
        <v>59500</v>
      </c>
      <c r="J54">
        <f>SUMIF(data!A1:A213,'Problem 2'!A54&amp;'Problem 2'!J1,data!H1:H213)</f>
        <v>3800</v>
      </c>
      <c r="K54" s="19">
        <f>SUMIF(data!A1:A213,'Problem 2'!A54&amp;'Problem 2'!K1,data!I1:I213)</f>
        <v>31678100</v>
      </c>
      <c r="L54" s="13">
        <f t="shared" si="2"/>
        <v>6.386554621848739E-2</v>
      </c>
      <c r="M54" s="12">
        <f t="shared" si="3"/>
        <v>532.40504201680676</v>
      </c>
      <c r="O54" s="13">
        <f t="shared" si="4"/>
        <v>1.7407054215440934E-2</v>
      </c>
      <c r="P54" s="12">
        <f t="shared" si="5"/>
        <v>139.88942891703522</v>
      </c>
      <c r="Q54" s="2"/>
    </row>
    <row r="55" spans="1:17" x14ac:dyDescent="0.35">
      <c r="A55" t="s">
        <v>54</v>
      </c>
      <c r="C55" s="18">
        <f>SUMIF(data!A1:A213,'Problem 2'!A55&amp;'Problem 2'!C1,data!G1:G213)</f>
        <v>57700</v>
      </c>
      <c r="D55">
        <f>SUMIF(data!A1:A213,'Problem 2'!A55&amp;'Problem 2'!D1,data!H1:H213)</f>
        <v>2100</v>
      </c>
      <c r="E55" s="19">
        <f>SUMIF(data!A1:A213,'Problem 2'!A55&amp;'Problem 2'!E1,data!I1:I213)</f>
        <v>18293600</v>
      </c>
      <c r="F55" s="13">
        <f t="shared" si="0"/>
        <v>3.6395147313691506E-2</v>
      </c>
      <c r="G55" s="12">
        <f t="shared" si="1"/>
        <v>317.04679376083186</v>
      </c>
      <c r="I55" s="18">
        <f>SUMIF(data!A1:A213,'Problem 2'!A55&amp;'Problem 2'!I1,data!G1:G213)</f>
        <v>27300</v>
      </c>
      <c r="J55">
        <f>SUMIF(data!A1:A213,'Problem 2'!A55&amp;'Problem 2'!J1,data!H1:H213)</f>
        <v>1600</v>
      </c>
      <c r="K55" s="19">
        <f>SUMIF(data!A1:A213,'Problem 2'!A55&amp;'Problem 2'!K1,data!I1:I213)</f>
        <v>12659100</v>
      </c>
      <c r="L55" s="13">
        <f t="shared" si="2"/>
        <v>5.8608058608058608E-2</v>
      </c>
      <c r="M55" s="12">
        <f t="shared" si="3"/>
        <v>463.7032967032967</v>
      </c>
      <c r="O55" s="13">
        <f t="shared" si="4"/>
        <v>2.2212911294367102E-2</v>
      </c>
      <c r="P55" s="12">
        <f t="shared" si="5"/>
        <v>146.65650294246484</v>
      </c>
      <c r="Q55" s="2"/>
    </row>
    <row r="56" spans="1:17" x14ac:dyDescent="0.35">
      <c r="A56" t="s">
        <v>55</v>
      </c>
      <c r="C56" s="18">
        <f>SUMIF(data!A1:A213,'Problem 2'!A56&amp;'Problem 2'!C1,data!G1:G213)</f>
        <v>164200</v>
      </c>
      <c r="D56">
        <f>SUMIF(data!A1:A213,'Problem 2'!A56&amp;'Problem 2'!D1,data!H1:H213)</f>
        <v>7800</v>
      </c>
      <c r="E56" s="19">
        <f>SUMIF(data!A1:A213,'Problem 2'!A56&amp;'Problem 2'!E1,data!I1:I213)</f>
        <v>60179800</v>
      </c>
      <c r="F56" s="13">
        <f t="shared" si="0"/>
        <v>4.7503045066991476E-2</v>
      </c>
      <c r="G56" s="12">
        <f t="shared" si="1"/>
        <v>366.50304506699149</v>
      </c>
      <c r="I56" s="18">
        <f>SUMIF(data!A1:A213,'Problem 2'!A56&amp;'Problem 2'!I1,data!G1:G213)</f>
        <v>65000</v>
      </c>
      <c r="J56">
        <f>SUMIF(data!A1:A213,'Problem 2'!A56&amp;'Problem 2'!J1,data!H1:H213)</f>
        <v>4900</v>
      </c>
      <c r="K56" s="19">
        <f>SUMIF(data!A1:A213,'Problem 2'!A56&amp;'Problem 2'!K1,data!I1:I213)</f>
        <v>35945000</v>
      </c>
      <c r="L56" s="13">
        <f t="shared" si="2"/>
        <v>7.5384615384615383E-2</v>
      </c>
      <c r="M56" s="12">
        <f t="shared" si="3"/>
        <v>553</v>
      </c>
      <c r="O56" s="13">
        <f t="shared" si="4"/>
        <v>2.7881570317623908E-2</v>
      </c>
      <c r="P56" s="12">
        <f t="shared" si="5"/>
        <v>186.49695493300851</v>
      </c>
      <c r="Q56" s="2"/>
    </row>
    <row r="57" spans="1:17" x14ac:dyDescent="0.35">
      <c r="A57" t="s">
        <v>56</v>
      </c>
      <c r="C57" s="18">
        <f>SUMIF(data!A1:A213,'Problem 2'!A57&amp;'Problem 2'!C1,data!G1:G213)</f>
        <v>16800</v>
      </c>
      <c r="D57">
        <f>SUMIF(data!A1:A213,'Problem 2'!A57&amp;'Problem 2'!D1,data!H1:H213)</f>
        <v>900</v>
      </c>
      <c r="E57" s="19">
        <f>SUMIF(data!A1:A213,'Problem 2'!A57&amp;'Problem 2'!E1,data!I1:I213)</f>
        <v>7318800</v>
      </c>
      <c r="F57" s="13">
        <f t="shared" si="0"/>
        <v>5.3571428571428568E-2</v>
      </c>
      <c r="G57" s="12">
        <f t="shared" si="1"/>
        <v>435.64285714285717</v>
      </c>
      <c r="I57" s="18">
        <f>SUMIF(data!A1:A213,'Problem 2'!A57&amp;'Problem 2'!I1,data!G1:G213)</f>
        <v>7200</v>
      </c>
      <c r="J57">
        <f>SUMIF(data!A1:A213,'Problem 2'!A57&amp;'Problem 2'!J1,data!H1:H213)</f>
        <v>600</v>
      </c>
      <c r="K57" s="19">
        <f>SUMIF(data!A1:A213,'Problem 2'!A57&amp;'Problem 2'!K1,data!I1:I213)</f>
        <v>4941200</v>
      </c>
      <c r="L57" s="13">
        <f t="shared" si="2"/>
        <v>8.3333333333333329E-2</v>
      </c>
      <c r="M57" s="12">
        <f t="shared" si="3"/>
        <v>686.27777777777783</v>
      </c>
      <c r="O57" s="13">
        <f t="shared" si="4"/>
        <v>2.976190476190476E-2</v>
      </c>
      <c r="P57" s="12">
        <f t="shared" si="5"/>
        <v>250.63492063492066</v>
      </c>
      <c r="Q57" s="2"/>
    </row>
  </sheetData>
  <phoneticPr fontId="2"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10"/>
  <sheetViews>
    <sheetView workbookViewId="0">
      <selection activeCell="G10" sqref="G10"/>
    </sheetView>
  </sheetViews>
  <sheetFormatPr defaultRowHeight="12.75" x14ac:dyDescent="0.35"/>
  <cols>
    <col min="1" max="1" width="10.1328125" bestFit="1" customWidth="1"/>
    <col min="2" max="2" width="9.3984375" bestFit="1" customWidth="1"/>
  </cols>
  <sheetData>
    <row r="1" spans="1:2" x14ac:dyDescent="0.35">
      <c r="A1" t="s">
        <v>86</v>
      </c>
      <c r="B1" t="s">
        <v>87</v>
      </c>
    </row>
    <row r="2" spans="1:2" x14ac:dyDescent="0.35">
      <c r="A2" t="s">
        <v>89</v>
      </c>
      <c r="B2" t="s">
        <v>90</v>
      </c>
    </row>
    <row r="3" spans="1:2" x14ac:dyDescent="0.35">
      <c r="A3" t="s">
        <v>91</v>
      </c>
      <c r="B3" t="s">
        <v>92</v>
      </c>
    </row>
    <row r="4" spans="1:2" x14ac:dyDescent="0.35">
      <c r="A4" t="s">
        <v>94</v>
      </c>
      <c r="B4" t="s">
        <v>92</v>
      </c>
    </row>
    <row r="5" spans="1:2" x14ac:dyDescent="0.35">
      <c r="A5" t="s">
        <v>95</v>
      </c>
      <c r="B5" t="s">
        <v>92</v>
      </c>
    </row>
    <row r="6" spans="1:2" x14ac:dyDescent="0.35">
      <c r="A6" t="s">
        <v>96</v>
      </c>
      <c r="B6" t="s">
        <v>92</v>
      </c>
    </row>
    <row r="7" spans="1:2" x14ac:dyDescent="0.35">
      <c r="A7" t="s">
        <v>97</v>
      </c>
      <c r="B7" t="s">
        <v>92</v>
      </c>
    </row>
    <row r="8" spans="1:2" x14ac:dyDescent="0.35">
      <c r="A8" t="s">
        <v>101</v>
      </c>
      <c r="B8" t="s">
        <v>92</v>
      </c>
    </row>
    <row r="9" spans="1:2" x14ac:dyDescent="0.35">
      <c r="A9" t="s">
        <v>102</v>
      </c>
      <c r="B9" t="s">
        <v>92</v>
      </c>
    </row>
    <row r="10" spans="1:2" x14ac:dyDescent="0.35">
      <c r="A10" t="s">
        <v>103</v>
      </c>
      <c r="B10" t="s">
        <v>104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data</vt:lpstr>
      <vt:lpstr>Problem 1</vt:lpstr>
      <vt:lpstr>Problem 2</vt:lpstr>
      <vt:lpstr>Log</vt:lpstr>
    </vt:vector>
  </TitlesOfParts>
  <Company>State Farm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 Duvvuri</dc:creator>
  <cp:lastModifiedBy>Timothy Susca</cp:lastModifiedBy>
  <dcterms:created xsi:type="dcterms:W3CDTF">2006-09-03T16:14:26Z</dcterms:created>
  <dcterms:modified xsi:type="dcterms:W3CDTF">2025-08-08T17:07:52Z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-1150545662</vt:i4>
  </property>
  <property fmtid="{D5CDD505-2E9C-101B-9397-08002B2CF9AE}" pid="3" name="_NewReviewCycle">
    <vt:lpwstr/>
  </property>
  <property fmtid="{D5CDD505-2E9C-101B-9397-08002B2CF9AE}" pid="4" name="_EmailSubject">
    <vt:lpwstr>MATH 283 - week 3 materials (and HW)</vt:lpwstr>
  </property>
  <property fmtid="{D5CDD505-2E9C-101B-9397-08002B2CF9AE}" pid="5" name="_AuthorEmail">
    <vt:lpwstr>rama.duvvuri.lcma@statefarm.com</vt:lpwstr>
  </property>
  <property fmtid="{D5CDD505-2E9C-101B-9397-08002B2CF9AE}" pid="6" name="_AuthorEmailDisplayName">
    <vt:lpwstr>Rama Duvvuri</vt:lpwstr>
  </property>
  <property fmtid="{D5CDD505-2E9C-101B-9397-08002B2CF9AE}" pid="7" name="_ReviewingToolsShownOnce">
    <vt:lpwstr/>
  </property>
</Properties>
</file>