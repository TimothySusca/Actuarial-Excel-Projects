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mot\Downloads\Acturial Projects\"/>
    </mc:Choice>
  </mc:AlternateContent>
  <xr:revisionPtr revIDLastSave="0" documentId="8_{D6FDEBB2-3DEF-486F-AC61-AD1DB03E70F0}" xr6:coauthVersionLast="47" xr6:coauthVersionMax="47" xr10:uidLastSave="{00000000-0000-0000-0000-000000000000}"/>
  <bookViews>
    <workbookView xWindow="-98" yWindow="-98" windowWidth="21795" windowHeight="14595" activeTab="2" xr2:uid="{00000000-000D-0000-FFFF-FFFF00000000}"/>
  </bookViews>
  <sheets>
    <sheet name="Instructions" sheetId="4" r:id="rId1"/>
    <sheet name="Problems" sheetId="3" r:id="rId2"/>
    <sheet name="Data 1" sheetId="1" r:id="rId3"/>
    <sheet name="Log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3" l="1"/>
  <c r="F29" i="3"/>
  <c r="E29" i="3"/>
  <c r="D29" i="3"/>
  <c r="C29" i="3"/>
  <c r="G28" i="3"/>
  <c r="F28" i="3"/>
  <c r="E28" i="3"/>
  <c r="D28" i="3"/>
  <c r="C28" i="3"/>
  <c r="G27" i="3"/>
  <c r="F27" i="3"/>
  <c r="E27" i="3"/>
  <c r="D27" i="3"/>
  <c r="C27" i="3"/>
  <c r="G26" i="3"/>
  <c r="F26" i="3"/>
  <c r="E26" i="3"/>
  <c r="D26" i="3"/>
  <c r="C26" i="3"/>
  <c r="G25" i="3"/>
  <c r="F25" i="3"/>
  <c r="E25" i="3"/>
  <c r="D25" i="3"/>
  <c r="C25" i="3"/>
  <c r="F19" i="3"/>
  <c r="F18" i="3"/>
  <c r="F17" i="3"/>
  <c r="F16" i="3"/>
  <c r="E19" i="3"/>
  <c r="E18" i="3"/>
  <c r="E17" i="3"/>
  <c r="E16" i="3"/>
  <c r="C19" i="3"/>
  <c r="C18" i="3"/>
  <c r="C16" i="3"/>
  <c r="D19" i="3"/>
  <c r="D18" i="3"/>
  <c r="D17" i="3"/>
  <c r="D16" i="3"/>
  <c r="C17" i="3"/>
  <c r="C6" i="3"/>
  <c r="F9" i="3"/>
  <c r="E9" i="3"/>
  <c r="D9" i="3"/>
  <c r="C9" i="3"/>
  <c r="F8" i="3"/>
  <c r="E8" i="3"/>
  <c r="D8" i="3"/>
  <c r="C8" i="3"/>
  <c r="F7" i="3"/>
  <c r="E7" i="3"/>
  <c r="D7" i="3"/>
  <c r="C7" i="3"/>
  <c r="F6" i="3" l="1"/>
  <c r="F10" i="3" s="1"/>
  <c r="E6" i="3"/>
  <c r="D6" i="3"/>
  <c r="D10" i="3" s="1"/>
  <c r="C10" i="3"/>
  <c r="C20" i="3"/>
  <c r="F20" i="3"/>
  <c r="E20" i="3"/>
  <c r="D20" i="3"/>
  <c r="G9" i="3"/>
  <c r="G8" i="3"/>
  <c r="G7" i="3"/>
  <c r="E10" i="3"/>
  <c r="G10" i="3" l="1"/>
  <c r="G17" i="3"/>
  <c r="G19" i="3"/>
  <c r="G16" i="3"/>
  <c r="G18" i="3"/>
  <c r="G20" i="3"/>
  <c r="G6" i="3"/>
</calcChain>
</file>

<file path=xl/sharedStrings.xml><?xml version="1.0" encoding="utf-8"?>
<sst xmlns="http://schemas.openxmlformats.org/spreadsheetml/2006/main" count="110" uniqueCount="50">
  <si>
    <t>BI</t>
  </si>
  <si>
    <t>COLL</t>
  </si>
  <si>
    <t>COMP</t>
  </si>
  <si>
    <t>PD</t>
  </si>
  <si>
    <t>2006 Q4</t>
  </si>
  <si>
    <t>2007 Q1</t>
  </si>
  <si>
    <t>2007 Q2</t>
  </si>
  <si>
    <t>2007 Q3</t>
  </si>
  <si>
    <t>2007 Q4</t>
  </si>
  <si>
    <t>2008 Q1</t>
  </si>
  <si>
    <t>2008 Q2</t>
  </si>
  <si>
    <t>2008 Q3</t>
  </si>
  <si>
    <t>2008 Q4</t>
  </si>
  <si>
    <t>2009 Q1</t>
  </si>
  <si>
    <t>2009 Q2</t>
  </si>
  <si>
    <t>2009 Q3</t>
  </si>
  <si>
    <t>2009 Q4</t>
  </si>
  <si>
    <t>2010 Q1</t>
  </si>
  <si>
    <t>2010 Q2</t>
  </si>
  <si>
    <t>2010 Q3</t>
  </si>
  <si>
    <t>2010 Q4</t>
  </si>
  <si>
    <t>2011 Q1</t>
  </si>
  <si>
    <t>quarter</t>
  </si>
  <si>
    <t>Total</t>
  </si>
  <si>
    <t>Problem 1</t>
  </si>
  <si>
    <t>Number of Claims</t>
  </si>
  <si>
    <t>a) VLOOKUP</t>
  </si>
  <si>
    <t>b) HLOOKUP + MATCH</t>
  </si>
  <si>
    <t>TOTAL</t>
  </si>
  <si>
    <t>c)  Severity</t>
  </si>
  <si>
    <t>Total Amount of Claims</t>
  </si>
  <si>
    <t>Amount of Claims</t>
  </si>
  <si>
    <t>ULID:</t>
  </si>
  <si>
    <t>Timestamp</t>
  </si>
  <si>
    <t>Username</t>
  </si>
  <si>
    <t>08-28-12 05 16 58 PM</t>
  </si>
  <si>
    <t>pl6y</t>
  </si>
  <si>
    <t>08-28-12 05 17 10 PM</t>
  </si>
  <si>
    <t>08-28-12 05 19 23 PM</t>
  </si>
  <si>
    <t>08-28-12 11 16 59 PM</t>
  </si>
  <si>
    <t>PL6Y</t>
  </si>
  <si>
    <t>08-28-12 11 17 34 PM</t>
  </si>
  <si>
    <t>Severity = Amount of Claims / Number of Claims = (part b)/(parta)</t>
  </si>
  <si>
    <t>08-21-13 03 12 50 PM</t>
  </si>
  <si>
    <t>08-21-13 03 13 04 PM</t>
  </si>
  <si>
    <t>01-21-14 04 14 39 PM</t>
  </si>
  <si>
    <t>08-25-15 04 27 43 PM</t>
  </si>
  <si>
    <t>08-25-15 04 27 58 PM</t>
  </si>
  <si>
    <t>08-08-25 12 41 01 PM</t>
  </si>
  <si>
    <t>timot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</si>
</sst>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left"/>
    </xf>
    <xf numFmtId="4" fontId="0" fillId="0" borderId="0" xfId="0" applyNumberFormat="1"/>
    <xf numFmtId="3" fontId="0" fillId="0" borderId="0" xfId="0" applyNumberForma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Continuous"/>
    </xf>
    <xf numFmtId="165" fontId="0" fillId="0" borderId="0" xfId="1" applyNumberFormat="1" applyFont="1"/>
    <xf numFmtId="4" fontId="3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1" xfId="0" applyNumberFormat="1" applyBorder="1"/>
    <xf numFmtId="165" fontId="0" fillId="2" borderId="0" xfId="1" applyNumberFormat="1" applyFont="1" applyFill="1"/>
    <xf numFmtId="165" fontId="0" fillId="2" borderId="1" xfId="1" applyNumberFormat="1" applyFont="1" applyFill="1" applyBorder="1"/>
    <xf numFmtId="165" fontId="0" fillId="0" borderId="0" xfId="1" applyNumberFormat="1" applyFont="1" applyFill="1"/>
    <xf numFmtId="0" fontId="2" fillId="0" borderId="0" xfId="0" applyFont="1" applyAlignment="1">
      <alignment horizontal="left"/>
    </xf>
    <xf numFmtId="0" fontId="2" fillId="0" borderId="0" xfId="0" applyFont="1"/>
    <xf numFmtId="0" fontId="0" fillId="0" borderId="2" xfId="0" applyBorder="1"/>
    <xf numFmtId="165" fontId="2" fillId="2" borderId="0" xfId="1" applyNumberFormat="1" applyFont="1" applyFill="1"/>
    <xf numFmtId="165" fontId="0" fillId="0" borderId="1" xfId="1" applyNumberFormat="1" applyFont="1" applyFill="1" applyBorder="1"/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15</xdr:col>
      <xdr:colOff>279913</xdr:colOff>
      <xdr:row>23</xdr:row>
      <xdr:rowOff>110102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D1354C3-6A58-FA76-90BD-2694D6585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8891" y="178594"/>
          <a:ext cx="9364382" cy="40391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80" workbookViewId="0">
      <selection activeCell="B2" sqref="B2"/>
    </sheetView>
  </sheetViews>
  <sheetFormatPr defaultRowHeight="14.25" x14ac:dyDescent="0.45"/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0"/>
  <sheetViews>
    <sheetView workbookViewId="0">
      <selection activeCell="E37" sqref="E37"/>
    </sheetView>
  </sheetViews>
  <sheetFormatPr defaultRowHeight="14.25" x14ac:dyDescent="0.45"/>
  <cols>
    <col min="1" max="1" width="13.86328125" customWidth="1"/>
    <col min="3" max="6" width="16" customWidth="1"/>
    <col min="7" max="7" width="14.265625" bestFit="1" customWidth="1"/>
  </cols>
  <sheetData>
    <row r="1" spans="1:7" ht="14.65" thickBot="1" x14ac:dyDescent="0.5">
      <c r="A1" s="15" t="s">
        <v>32</v>
      </c>
      <c r="B1" s="16"/>
    </row>
    <row r="2" spans="1:7" x14ac:dyDescent="0.45">
      <c r="A2" s="14" t="s">
        <v>24</v>
      </c>
    </row>
    <row r="3" spans="1:7" ht="15.75" customHeight="1" x14ac:dyDescent="0.45">
      <c r="A3" t="s">
        <v>26</v>
      </c>
      <c r="C3" s="3">
        <v>2</v>
      </c>
      <c r="D3" s="3">
        <v>3</v>
      </c>
      <c r="E3" s="3">
        <v>4</v>
      </c>
      <c r="F3" s="3">
        <v>5</v>
      </c>
    </row>
    <row r="4" spans="1:7" x14ac:dyDescent="0.45">
      <c r="B4" s="6" t="s">
        <v>25</v>
      </c>
      <c r="C4" s="6"/>
      <c r="D4" s="6"/>
      <c r="E4" s="6"/>
      <c r="F4" s="6"/>
    </row>
    <row r="5" spans="1:7" x14ac:dyDescent="0.45">
      <c r="C5" s="8" t="s">
        <v>0</v>
      </c>
      <c r="D5" s="8" t="s">
        <v>1</v>
      </c>
      <c r="E5" s="8" t="s">
        <v>2</v>
      </c>
      <c r="F5" s="8" t="s">
        <v>3</v>
      </c>
      <c r="G5" s="8" t="s">
        <v>28</v>
      </c>
    </row>
    <row r="6" spans="1:7" x14ac:dyDescent="0.45">
      <c r="B6" s="1" t="s">
        <v>17</v>
      </c>
      <c r="C6" s="11">
        <f>VLOOKUP(B6,'Data 1'!A19:L23, 2, FALSE)</f>
        <v>38126</v>
      </c>
      <c r="D6" s="11">
        <f>VLOOKUP(B6,'Data 1'!A19:L$23, 3, FALSE)</f>
        <v>97627</v>
      </c>
      <c r="E6" s="11">
        <f>VLOOKUP(B6,'Data 1'!A19:L23, 4, FALSE)</f>
        <v>224993</v>
      </c>
      <c r="F6" s="11">
        <f>VLOOKUP(B6,'Data 1'!A19:L23, 5, FALSE)</f>
        <v>83920</v>
      </c>
      <c r="G6" s="9">
        <f>SUM(C6:F6)</f>
        <v>444666</v>
      </c>
    </row>
    <row r="7" spans="1:7" x14ac:dyDescent="0.45">
      <c r="B7" s="1" t="s">
        <v>18</v>
      </c>
      <c r="C7" s="11">
        <f>VLOOKUP(B7,'Data 1'!A19:L23, 2, FALSE)</f>
        <v>37643</v>
      </c>
      <c r="D7" s="11">
        <f>VLOOKUP(B7,'Data 1'!A19:L23, 3, FALSE)</f>
        <v>96862</v>
      </c>
      <c r="E7" s="11">
        <f>VLOOKUP(B7,'Data 1'!A19:L23, 4, FALSE)</f>
        <v>221997</v>
      </c>
      <c r="F7" s="11">
        <f>VLOOKUP(B7,'Data 1'!A19:L23, 5, FALSE)</f>
        <v>84243</v>
      </c>
      <c r="G7" s="9">
        <f t="shared" ref="G7:G10" si="0">SUM(C7:F7)</f>
        <v>440745</v>
      </c>
    </row>
    <row r="8" spans="1:7" x14ac:dyDescent="0.45">
      <c r="B8" s="1" t="s">
        <v>19</v>
      </c>
      <c r="C8" s="11">
        <f>VLOOKUP(B8,'Data 1'!A19:L23, 2, FALSE)</f>
        <v>36135</v>
      </c>
      <c r="D8" s="11">
        <f>VLOOKUP(B8,'Data 1'!A19:L23, 3, FALSE)</f>
        <v>94794</v>
      </c>
      <c r="E8" s="11">
        <f>VLOOKUP(B8,'Data 1'!A19:L23, 4, FALSE)</f>
        <v>228131</v>
      </c>
      <c r="F8" s="17">
        <f>VLOOKUP(B8,'Data 1'!A19:L23, 5, FALSE)</f>
        <v>82328</v>
      </c>
      <c r="G8" s="9">
        <f t="shared" si="0"/>
        <v>441388</v>
      </c>
    </row>
    <row r="9" spans="1:7" x14ac:dyDescent="0.45">
      <c r="B9" s="5" t="s">
        <v>20</v>
      </c>
      <c r="C9" s="12">
        <f>VLOOKUP(B9,'Data 1'!A19:L23, 2, FALSE)</f>
        <v>34895</v>
      </c>
      <c r="D9" s="12">
        <f>VLOOKUP(B9,'Data 1'!A19:L23, 3, FALSE)</f>
        <v>96831</v>
      </c>
      <c r="E9" s="12">
        <f>VLOOKUP(B9,'Data 1'!A19:L23, 4, FALSE)</f>
        <v>282565</v>
      </c>
      <c r="F9" s="12">
        <f>VLOOKUP(B9,'Data 1'!A19:L23, 5, FALSE)</f>
        <v>81830</v>
      </c>
      <c r="G9" s="10">
        <f t="shared" si="0"/>
        <v>496121</v>
      </c>
    </row>
    <row r="10" spans="1:7" x14ac:dyDescent="0.45">
      <c r="B10" s="1" t="s">
        <v>23</v>
      </c>
      <c r="C10" s="13">
        <f>SUM(C6:C9)</f>
        <v>146799</v>
      </c>
      <c r="D10" s="13">
        <f>SUM(D6:D9)</f>
        <v>386114</v>
      </c>
      <c r="E10" s="13">
        <f>SUM(E6:E9)</f>
        <v>957686</v>
      </c>
      <c r="F10" s="13">
        <f>SUM(F6:F9)</f>
        <v>332321</v>
      </c>
      <c r="G10" s="9">
        <f t="shared" si="0"/>
        <v>1822920</v>
      </c>
    </row>
    <row r="13" spans="1:7" x14ac:dyDescent="0.45">
      <c r="A13" t="s">
        <v>27</v>
      </c>
    </row>
    <row r="14" spans="1:7" x14ac:dyDescent="0.45">
      <c r="B14" s="6" t="s">
        <v>31</v>
      </c>
      <c r="C14" s="6"/>
      <c r="D14" s="6"/>
      <c r="E14" s="6"/>
      <c r="F14" s="6"/>
    </row>
    <row r="15" spans="1:7" x14ac:dyDescent="0.45">
      <c r="C15" s="4" t="s">
        <v>0</v>
      </c>
      <c r="D15" s="4" t="s">
        <v>1</v>
      </c>
      <c r="E15" s="4" t="s">
        <v>2</v>
      </c>
      <c r="F15" s="4" t="s">
        <v>3</v>
      </c>
      <c r="G15" s="8" t="s">
        <v>28</v>
      </c>
    </row>
    <row r="16" spans="1:7" x14ac:dyDescent="0.45">
      <c r="B16" s="1" t="s">
        <v>17</v>
      </c>
      <c r="C16" s="11">
        <f>HLOOKUP(C15,'Data 1'!G5:K23,MATCH(B16,'Data 1'!G5:G23,0),FALSE)</f>
        <v>391034875</v>
      </c>
      <c r="D16" s="11">
        <f>HLOOKUP(D15,'Data 1'!G5:K23,MATCH(B16,'Data 1'!G5:G23,0),FALSE)</f>
        <v>297607013</v>
      </c>
      <c r="E16" s="11">
        <f>HLOOKUP(E15,'Data 1'!G5:K23,MATCH(B16,'Data 1'!G5:G23,0),FALSE)</f>
        <v>125689617</v>
      </c>
      <c r="F16" s="11">
        <f>HLOOKUP(F15,'Data 1'!G5:K23,MATCH(B16,'Data 1'!G5:G23,0),FALSE)</f>
        <v>215648002</v>
      </c>
      <c r="G16" s="9">
        <f>SUM(C16:F16)</f>
        <v>1029979507</v>
      </c>
    </row>
    <row r="17" spans="1:7" x14ac:dyDescent="0.45">
      <c r="B17" s="1" t="s">
        <v>18</v>
      </c>
      <c r="C17" s="11">
        <f>HLOOKUP(C15,'Data 1'!G5:K23,MATCH(B17,'Data 1'!G5:G23,0),FALSE)</f>
        <v>398757313</v>
      </c>
      <c r="D17" s="11">
        <f>HLOOKUP(D15,'Data 1'!G5:K23,MATCH(B17,'Data 1'!G5:G23,0),FALSE)</f>
        <v>299237921</v>
      </c>
      <c r="E17" s="11">
        <f>HLOOKUP(E15,'Data 1'!G5:K23,MATCH(B17,'Data 1'!G5:G23,0),FALSE)</f>
        <v>122608535</v>
      </c>
      <c r="F17" s="11">
        <f>HLOOKUP(F15,'Data 1'!G5:K23,MATCH(B17,'Data 1'!G5:G23,0),FALSE)</f>
        <v>218819408</v>
      </c>
      <c r="G17" s="9">
        <f t="shared" ref="G17:G20" si="1">SUM(C17:F17)</f>
        <v>1039423177</v>
      </c>
    </row>
    <row r="18" spans="1:7" x14ac:dyDescent="0.45">
      <c r="B18" s="1" t="s">
        <v>19</v>
      </c>
      <c r="C18" s="11">
        <f>HLOOKUP(C15,'Data 1'!G5:K23,MATCH(B18,'Data 1'!G5:G23,0),FALSE)</f>
        <v>378202288</v>
      </c>
      <c r="D18" s="11">
        <f>HLOOKUP(D15,'Data 1'!G5:K23,MATCH(B18,'Data 1'!G5:G23,0),FALSE)</f>
        <v>289807150</v>
      </c>
      <c r="E18" s="11">
        <f>HLOOKUP(E15,'Data 1'!G5:K23,MATCH(B18,'Data 1'!G5:G23,0),FALSE)</f>
        <v>263006778</v>
      </c>
      <c r="F18" s="11">
        <f>HLOOKUP(F15,'Data 1'!G5:K23,MATCH(B18,'Data 1'!G5:G23,0),FALSE)</f>
        <v>216321659</v>
      </c>
      <c r="G18" s="9">
        <f t="shared" si="1"/>
        <v>1147337875</v>
      </c>
    </row>
    <row r="19" spans="1:7" x14ac:dyDescent="0.45">
      <c r="B19" s="5" t="s">
        <v>20</v>
      </c>
      <c r="C19" s="12">
        <f>HLOOKUP(C15,'Data 1'!G5:K23,MATCH(B19,'Data 1'!G5:G23,0),FALSE)</f>
        <v>360856761</v>
      </c>
      <c r="D19" s="12">
        <f>HLOOKUP(D15,'Data 1'!G5:K23,MATCH(B19,'Data 1'!G5:G23,0),FALSE)</f>
        <v>305960008</v>
      </c>
      <c r="E19" s="12">
        <f>HLOOKUP(E15,'Data 1'!G5:K23,MATCH(B19,'Data 1'!G5:G23,0),FALSE)</f>
        <v>754537231</v>
      </c>
      <c r="F19" s="12">
        <f>HLOOKUP(F15,'Data 1'!G5:K23,MATCH(B19,'Data 1'!G5:G23,0),FALSE)</f>
        <v>218495081</v>
      </c>
      <c r="G19" s="10">
        <f t="shared" si="1"/>
        <v>1639849081</v>
      </c>
    </row>
    <row r="20" spans="1:7" x14ac:dyDescent="0.45">
      <c r="B20" s="1" t="s">
        <v>23</v>
      </c>
      <c r="C20" s="13">
        <f>SUM(C16:C19)</f>
        <v>1528851237</v>
      </c>
      <c r="D20" s="13">
        <f>SUM(D16:D19)</f>
        <v>1192612092</v>
      </c>
      <c r="E20" s="13">
        <f>SUM(E16:E19)</f>
        <v>1265842161</v>
      </c>
      <c r="F20" s="13">
        <f>SUM(F16:F19)</f>
        <v>869284150</v>
      </c>
      <c r="G20" s="9">
        <f t="shared" si="1"/>
        <v>4856589640</v>
      </c>
    </row>
    <row r="23" spans="1:7" x14ac:dyDescent="0.45">
      <c r="A23" t="s">
        <v>29</v>
      </c>
      <c r="B23" s="6" t="s">
        <v>42</v>
      </c>
      <c r="C23" s="6"/>
      <c r="D23" s="6"/>
      <c r="E23" s="6"/>
      <c r="F23" s="6"/>
    </row>
    <row r="24" spans="1:7" x14ac:dyDescent="0.45">
      <c r="C24" s="4" t="s">
        <v>0</v>
      </c>
      <c r="D24" s="4" t="s">
        <v>1</v>
      </c>
      <c r="E24" s="4" t="s">
        <v>2</v>
      </c>
      <c r="F24" s="4" t="s">
        <v>3</v>
      </c>
      <c r="G24" s="8" t="s">
        <v>28</v>
      </c>
    </row>
    <row r="25" spans="1:7" x14ac:dyDescent="0.45">
      <c r="B25" s="1" t="s">
        <v>17</v>
      </c>
      <c r="C25" s="11">
        <f>C16/C6</f>
        <v>10256.383439122908</v>
      </c>
      <c r="D25" s="11">
        <f t="shared" ref="D25:G25" si="2">D16/D6</f>
        <v>3048.4088725455049</v>
      </c>
      <c r="E25" s="11">
        <f t="shared" si="2"/>
        <v>558.63789984577295</v>
      </c>
      <c r="F25" s="11">
        <f t="shared" si="2"/>
        <v>2569.6854385128695</v>
      </c>
      <c r="G25" s="11">
        <f t="shared" si="2"/>
        <v>2316.2992155910279</v>
      </c>
    </row>
    <row r="26" spans="1:7" x14ac:dyDescent="0.45">
      <c r="B26" s="1" t="s">
        <v>18</v>
      </c>
      <c r="C26" s="11">
        <f t="shared" ref="C26:G26" si="3">C17/C7</f>
        <v>10593.133198735488</v>
      </c>
      <c r="D26" s="11">
        <f t="shared" si="3"/>
        <v>3089.3221387128078</v>
      </c>
      <c r="E26" s="11">
        <f t="shared" si="3"/>
        <v>552.29816168686966</v>
      </c>
      <c r="F26" s="11">
        <f t="shared" si="3"/>
        <v>2597.478817231105</v>
      </c>
      <c r="G26" s="11">
        <f t="shared" si="3"/>
        <v>2358.3323168725678</v>
      </c>
    </row>
    <row r="27" spans="1:7" x14ac:dyDescent="0.45">
      <c r="B27" s="1" t="s">
        <v>19</v>
      </c>
      <c r="C27" s="11">
        <f t="shared" ref="C27:G27" si="4">C18/C8</f>
        <v>10466.370222775702</v>
      </c>
      <c r="D27" s="11">
        <f t="shared" si="4"/>
        <v>3057.2309428866806</v>
      </c>
      <c r="E27" s="11">
        <f t="shared" si="4"/>
        <v>1152.876101888827</v>
      </c>
      <c r="F27" s="11">
        <f t="shared" si="4"/>
        <v>2627.5587770867746</v>
      </c>
      <c r="G27" s="11">
        <f t="shared" si="4"/>
        <v>2599.3861976311091</v>
      </c>
    </row>
    <row r="28" spans="1:7" x14ac:dyDescent="0.45">
      <c r="B28" s="5" t="s">
        <v>20</v>
      </c>
      <c r="C28" s="11">
        <f t="shared" ref="C28:G28" si="5">C19/C9</f>
        <v>10341.216821894253</v>
      </c>
      <c r="D28" s="11">
        <f t="shared" si="5"/>
        <v>3159.7319866571656</v>
      </c>
      <c r="E28" s="11">
        <f t="shared" si="5"/>
        <v>2670.3138428326224</v>
      </c>
      <c r="F28" s="11">
        <f t="shared" si="5"/>
        <v>2670.1097519247219</v>
      </c>
      <c r="G28" s="11">
        <f t="shared" si="5"/>
        <v>3305.3409974582814</v>
      </c>
    </row>
    <row r="29" spans="1:7" x14ac:dyDescent="0.45">
      <c r="B29" s="1" t="s">
        <v>23</v>
      </c>
      <c r="C29" s="11">
        <f t="shared" ref="C29:G29" si="6">C20/C10</f>
        <v>10414.588907281384</v>
      </c>
      <c r="D29" s="11">
        <f t="shared" si="6"/>
        <v>3088.7564087290284</v>
      </c>
      <c r="E29" s="11">
        <f t="shared" si="6"/>
        <v>1321.7716046804485</v>
      </c>
      <c r="F29" s="11">
        <f t="shared" si="6"/>
        <v>2615.7966243481455</v>
      </c>
      <c r="G29" s="11">
        <f t="shared" si="6"/>
        <v>2664.181445153929</v>
      </c>
    </row>
    <row r="32" spans="1:7" x14ac:dyDescent="0.45">
      <c r="A32" s="15"/>
      <c r="B32" s="6"/>
      <c r="C32" s="6"/>
      <c r="D32" s="6"/>
      <c r="E32" s="6"/>
      <c r="F32" s="6"/>
    </row>
    <row r="33" spans="2:7" x14ac:dyDescent="0.45">
      <c r="C33" s="4"/>
      <c r="D33" s="4"/>
      <c r="E33" s="4"/>
      <c r="F33" s="4"/>
      <c r="G33" s="8"/>
    </row>
    <row r="34" spans="2:7" x14ac:dyDescent="0.45">
      <c r="B34" s="1"/>
      <c r="C34" s="13"/>
      <c r="D34" s="13"/>
      <c r="E34" s="13"/>
      <c r="F34" s="13"/>
      <c r="G34" s="9"/>
    </row>
    <row r="35" spans="2:7" x14ac:dyDescent="0.45">
      <c r="B35" s="1"/>
      <c r="C35" s="13"/>
      <c r="D35" s="13"/>
      <c r="E35" s="13"/>
      <c r="F35" s="13"/>
      <c r="G35" s="9"/>
    </row>
    <row r="36" spans="2:7" x14ac:dyDescent="0.45">
      <c r="B36" s="1"/>
      <c r="C36" s="13"/>
      <c r="D36" s="13"/>
      <c r="E36" s="13"/>
      <c r="F36" s="13"/>
      <c r="G36" s="9"/>
    </row>
    <row r="37" spans="2:7" x14ac:dyDescent="0.45">
      <c r="B37" s="5"/>
      <c r="C37" s="18"/>
      <c r="D37" s="18"/>
      <c r="E37" s="18"/>
      <c r="F37" s="18"/>
      <c r="G37" s="10"/>
    </row>
    <row r="38" spans="2:7" x14ac:dyDescent="0.45">
      <c r="B38" s="1"/>
      <c r="C38" s="7"/>
      <c r="D38" s="7"/>
      <c r="E38" s="7"/>
      <c r="F38" s="7"/>
      <c r="G38" s="9"/>
    </row>
    <row r="39" spans="2:7" x14ac:dyDescent="0.45">
      <c r="B39" s="1"/>
      <c r="C39" s="7"/>
      <c r="D39" s="7"/>
      <c r="E39" s="7"/>
      <c r="F39" s="7"/>
      <c r="G39" s="9"/>
    </row>
    <row r="40" spans="2:7" x14ac:dyDescent="0.45">
      <c r="B40" s="1"/>
      <c r="C40" s="7"/>
      <c r="D40" s="7"/>
      <c r="E40" s="7"/>
      <c r="F40" s="7"/>
      <c r="G40" s="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K23"/>
  <sheetViews>
    <sheetView tabSelected="1" workbookViewId="0">
      <selection activeCell="B34" sqref="B34"/>
    </sheetView>
  </sheetViews>
  <sheetFormatPr defaultRowHeight="14.25" x14ac:dyDescent="0.45"/>
  <cols>
    <col min="1" max="1" width="15" customWidth="1"/>
    <col min="2" max="2" width="17" customWidth="1"/>
    <col min="3" max="5" width="14.265625" bestFit="1" customWidth="1"/>
    <col min="8" max="11" width="13.86328125" bestFit="1" customWidth="1"/>
  </cols>
  <sheetData>
    <row r="3" spans="1:11" x14ac:dyDescent="0.45">
      <c r="B3" s="19" t="s">
        <v>25</v>
      </c>
      <c r="C3" s="19"/>
      <c r="D3" s="19"/>
      <c r="E3" s="19"/>
      <c r="H3" s="19" t="s">
        <v>30</v>
      </c>
      <c r="I3" s="19"/>
      <c r="J3" s="19"/>
      <c r="K3" s="19"/>
    </row>
    <row r="5" spans="1:11" x14ac:dyDescent="0.45">
      <c r="A5" t="s">
        <v>22</v>
      </c>
      <c r="B5" s="2" t="s">
        <v>0</v>
      </c>
      <c r="C5" s="2" t="s">
        <v>1</v>
      </c>
      <c r="D5" s="2" t="s">
        <v>2</v>
      </c>
      <c r="E5" s="2" t="s">
        <v>3</v>
      </c>
      <c r="G5" t="s">
        <v>22</v>
      </c>
      <c r="H5" s="2" t="s">
        <v>0</v>
      </c>
      <c r="I5" s="2" t="s">
        <v>1</v>
      </c>
      <c r="J5" s="2" t="s">
        <v>2</v>
      </c>
      <c r="K5" s="2" t="s">
        <v>3</v>
      </c>
    </row>
    <row r="6" spans="1:11" x14ac:dyDescent="0.45">
      <c r="A6" s="1" t="s">
        <v>4</v>
      </c>
      <c r="B6" s="3">
        <v>38875</v>
      </c>
      <c r="C6" s="3">
        <v>114269</v>
      </c>
      <c r="D6" s="3">
        <v>252426</v>
      </c>
      <c r="E6" s="3">
        <v>88405</v>
      </c>
      <c r="G6" s="1" t="s">
        <v>4</v>
      </c>
      <c r="H6" s="3">
        <v>347562311</v>
      </c>
      <c r="I6" s="3">
        <v>297101943</v>
      </c>
      <c r="J6" s="3">
        <v>171726444</v>
      </c>
      <c r="K6" s="3">
        <v>206121664</v>
      </c>
    </row>
    <row r="7" spans="1:11" x14ac:dyDescent="0.45">
      <c r="A7" s="1" t="s">
        <v>5</v>
      </c>
      <c r="B7" s="3">
        <v>39302</v>
      </c>
      <c r="C7" s="3">
        <v>115781</v>
      </c>
      <c r="D7" s="3">
        <v>253310</v>
      </c>
      <c r="E7" s="3">
        <v>89675</v>
      </c>
      <c r="G7" s="1" t="s">
        <v>5</v>
      </c>
      <c r="H7" s="3">
        <v>356385859</v>
      </c>
      <c r="I7" s="3">
        <v>303325549</v>
      </c>
      <c r="J7" s="3">
        <v>171751008</v>
      </c>
      <c r="K7" s="3">
        <v>211587512</v>
      </c>
    </row>
    <row r="8" spans="1:11" x14ac:dyDescent="0.45">
      <c r="A8" s="1" t="s">
        <v>6</v>
      </c>
      <c r="B8" s="3">
        <v>40397</v>
      </c>
      <c r="C8" s="3">
        <v>117500</v>
      </c>
      <c r="D8" s="3">
        <v>247155</v>
      </c>
      <c r="E8" s="3">
        <v>91825</v>
      </c>
      <c r="G8" s="1" t="s">
        <v>6</v>
      </c>
      <c r="H8" s="3">
        <v>365208326</v>
      </c>
      <c r="I8" s="3">
        <v>307285902</v>
      </c>
      <c r="J8" s="3">
        <v>155561104</v>
      </c>
      <c r="K8" s="3">
        <v>219072028</v>
      </c>
    </row>
    <row r="9" spans="1:11" x14ac:dyDescent="0.45">
      <c r="A9" s="1" t="s">
        <v>7</v>
      </c>
      <c r="B9" s="3">
        <v>41088</v>
      </c>
      <c r="C9" s="3">
        <v>117582</v>
      </c>
      <c r="D9" s="3">
        <v>247006</v>
      </c>
      <c r="E9" s="3">
        <v>92727</v>
      </c>
      <c r="G9" s="1" t="s">
        <v>7</v>
      </c>
      <c r="H9" s="3">
        <v>374910068</v>
      </c>
      <c r="I9" s="3">
        <v>312981755</v>
      </c>
      <c r="J9" s="3">
        <v>149621224</v>
      </c>
      <c r="K9" s="3">
        <v>224586110</v>
      </c>
    </row>
    <row r="10" spans="1:11" x14ac:dyDescent="0.45">
      <c r="A10" s="1" t="s">
        <v>8</v>
      </c>
      <c r="B10" s="3">
        <v>40792</v>
      </c>
      <c r="C10" s="3">
        <v>116091</v>
      </c>
      <c r="D10" s="3">
        <v>258762</v>
      </c>
      <c r="E10" s="3">
        <v>92130</v>
      </c>
      <c r="G10" s="1" t="s">
        <v>8</v>
      </c>
      <c r="H10" s="3">
        <v>374995134</v>
      </c>
      <c r="I10" s="3">
        <v>315956285</v>
      </c>
      <c r="J10" s="3">
        <v>171822105</v>
      </c>
      <c r="K10" s="3">
        <v>226557930</v>
      </c>
    </row>
    <row r="11" spans="1:11" x14ac:dyDescent="0.45">
      <c r="A11" s="1" t="s">
        <v>9</v>
      </c>
      <c r="B11" s="3">
        <v>40962</v>
      </c>
      <c r="C11" s="3">
        <v>113548</v>
      </c>
      <c r="D11" s="3">
        <v>261295</v>
      </c>
      <c r="E11" s="3">
        <v>91785</v>
      </c>
      <c r="G11" s="1" t="s">
        <v>9</v>
      </c>
      <c r="H11" s="3">
        <v>380143183</v>
      </c>
      <c r="I11" s="3">
        <v>317575010</v>
      </c>
      <c r="J11" s="3">
        <v>173188970</v>
      </c>
      <c r="K11" s="3">
        <v>229253376</v>
      </c>
    </row>
    <row r="12" spans="1:11" x14ac:dyDescent="0.45">
      <c r="A12" s="1" t="s">
        <v>10</v>
      </c>
      <c r="B12" s="3">
        <v>40606</v>
      </c>
      <c r="C12" s="3">
        <v>110384</v>
      </c>
      <c r="D12" s="3">
        <v>268859</v>
      </c>
      <c r="E12" s="3">
        <v>90211</v>
      </c>
      <c r="G12" s="1" t="s">
        <v>10</v>
      </c>
      <c r="H12" s="3">
        <v>379741201</v>
      </c>
      <c r="I12" s="3">
        <v>317408148</v>
      </c>
      <c r="J12" s="3">
        <v>193537654</v>
      </c>
      <c r="K12" s="3">
        <v>229128374</v>
      </c>
    </row>
    <row r="13" spans="1:11" x14ac:dyDescent="0.45">
      <c r="A13" s="1" t="s">
        <v>11</v>
      </c>
      <c r="B13" s="3">
        <v>40714</v>
      </c>
      <c r="C13" s="3">
        <v>108505</v>
      </c>
      <c r="D13" s="3">
        <v>266331</v>
      </c>
      <c r="E13" s="3">
        <v>89990</v>
      </c>
      <c r="G13" s="1" t="s">
        <v>11</v>
      </c>
      <c r="H13" s="3">
        <v>388993979</v>
      </c>
      <c r="I13" s="3">
        <v>317325590</v>
      </c>
      <c r="J13" s="3">
        <v>194370854</v>
      </c>
      <c r="K13" s="3">
        <v>231078348</v>
      </c>
    </row>
    <row r="14" spans="1:11" x14ac:dyDescent="0.45">
      <c r="A14" s="1" t="s">
        <v>12</v>
      </c>
      <c r="B14" s="3">
        <v>40832</v>
      </c>
      <c r="C14" s="3">
        <v>105955</v>
      </c>
      <c r="D14" s="3">
        <v>246117</v>
      </c>
      <c r="E14" s="3">
        <v>89305</v>
      </c>
      <c r="G14" s="1" t="s">
        <v>12</v>
      </c>
      <c r="H14" s="3">
        <v>393366569</v>
      </c>
      <c r="I14" s="3">
        <v>308206776</v>
      </c>
      <c r="J14" s="3">
        <v>163598288</v>
      </c>
      <c r="K14" s="3">
        <v>229755916</v>
      </c>
    </row>
    <row r="15" spans="1:11" x14ac:dyDescent="0.45">
      <c r="A15" s="1" t="s">
        <v>13</v>
      </c>
      <c r="B15" s="3">
        <v>40657</v>
      </c>
      <c r="C15" s="3">
        <v>104281</v>
      </c>
      <c r="D15" s="3">
        <v>240103</v>
      </c>
      <c r="E15" s="3">
        <v>88088</v>
      </c>
      <c r="G15" s="1" t="s">
        <v>13</v>
      </c>
      <c r="H15" s="3">
        <v>390857308</v>
      </c>
      <c r="I15" s="3">
        <v>304053732</v>
      </c>
      <c r="J15" s="3">
        <v>156599410</v>
      </c>
      <c r="K15" s="3">
        <v>227048400</v>
      </c>
    </row>
    <row r="16" spans="1:11" x14ac:dyDescent="0.45">
      <c r="A16" s="1" t="s">
        <v>14</v>
      </c>
      <c r="B16" s="3">
        <v>40324</v>
      </c>
      <c r="C16" s="3">
        <v>103089</v>
      </c>
      <c r="D16" s="3">
        <v>230028</v>
      </c>
      <c r="E16" s="3">
        <v>87298</v>
      </c>
      <c r="G16" s="1" t="s">
        <v>14</v>
      </c>
      <c r="H16" s="3">
        <v>390644635</v>
      </c>
      <c r="I16" s="3">
        <v>300566704</v>
      </c>
      <c r="J16" s="3">
        <v>135281591</v>
      </c>
      <c r="K16" s="3">
        <v>223747356</v>
      </c>
    </row>
    <row r="17" spans="1:11" x14ac:dyDescent="0.45">
      <c r="A17" s="1" t="s">
        <v>15</v>
      </c>
      <c r="B17" s="3">
        <v>39551</v>
      </c>
      <c r="C17" s="3">
        <v>100031</v>
      </c>
      <c r="D17" s="3">
        <v>224880</v>
      </c>
      <c r="E17" s="3">
        <v>85285</v>
      </c>
      <c r="G17" s="1" t="s">
        <v>15</v>
      </c>
      <c r="H17" s="3">
        <v>389188143</v>
      </c>
      <c r="I17" s="3">
        <v>294537398</v>
      </c>
      <c r="J17" s="3">
        <v>125379132</v>
      </c>
      <c r="K17" s="3">
        <v>216986130</v>
      </c>
    </row>
    <row r="18" spans="1:11" x14ac:dyDescent="0.45">
      <c r="A18" s="1" t="s">
        <v>16</v>
      </c>
      <c r="B18" s="3">
        <v>38852</v>
      </c>
      <c r="C18" s="3">
        <v>98956</v>
      </c>
      <c r="D18" s="3">
        <v>224912</v>
      </c>
      <c r="E18" s="3">
        <v>84614</v>
      </c>
      <c r="G18" s="1" t="s">
        <v>16</v>
      </c>
      <c r="H18" s="3">
        <v>390833116</v>
      </c>
      <c r="I18" s="3">
        <v>297527410</v>
      </c>
      <c r="J18" s="3">
        <v>125270389</v>
      </c>
      <c r="K18" s="3">
        <v>216650137</v>
      </c>
    </row>
    <row r="19" spans="1:11" x14ac:dyDescent="0.45">
      <c r="A19" s="1" t="s">
        <v>17</v>
      </c>
      <c r="B19" s="3">
        <v>38126</v>
      </c>
      <c r="C19" s="3">
        <v>97627</v>
      </c>
      <c r="D19" s="3">
        <v>224993</v>
      </c>
      <c r="E19" s="3">
        <v>83920</v>
      </c>
      <c r="G19" s="1" t="s">
        <v>17</v>
      </c>
      <c r="H19" s="3">
        <v>391034875</v>
      </c>
      <c r="I19" s="3">
        <v>297607013</v>
      </c>
      <c r="J19" s="3">
        <v>125689617</v>
      </c>
      <c r="K19" s="3">
        <v>215648002</v>
      </c>
    </row>
    <row r="20" spans="1:11" x14ac:dyDescent="0.45">
      <c r="A20" s="1" t="s">
        <v>18</v>
      </c>
      <c r="B20" s="3">
        <v>37643</v>
      </c>
      <c r="C20" s="3">
        <v>96862</v>
      </c>
      <c r="D20" s="3">
        <v>221997</v>
      </c>
      <c r="E20" s="3">
        <v>84243</v>
      </c>
      <c r="G20" s="1" t="s">
        <v>18</v>
      </c>
      <c r="H20" s="3">
        <v>398757313</v>
      </c>
      <c r="I20" s="3">
        <v>299237921</v>
      </c>
      <c r="J20" s="3">
        <v>122608535</v>
      </c>
      <c r="K20" s="3">
        <v>218819408</v>
      </c>
    </row>
    <row r="21" spans="1:11" x14ac:dyDescent="0.45">
      <c r="A21" s="1" t="s">
        <v>19</v>
      </c>
      <c r="B21" s="3">
        <v>36135</v>
      </c>
      <c r="C21" s="3">
        <v>94794</v>
      </c>
      <c r="D21" s="3">
        <v>228131</v>
      </c>
      <c r="E21" s="3">
        <v>82328</v>
      </c>
      <c r="G21" s="1" t="s">
        <v>19</v>
      </c>
      <c r="H21" s="3">
        <v>378202288</v>
      </c>
      <c r="I21" s="3">
        <v>289807150</v>
      </c>
      <c r="J21" s="3">
        <v>263006778</v>
      </c>
      <c r="K21" s="3">
        <v>216321659</v>
      </c>
    </row>
    <row r="22" spans="1:11" x14ac:dyDescent="0.45">
      <c r="A22" s="1" t="s">
        <v>20</v>
      </c>
      <c r="B22" s="3">
        <v>34895</v>
      </c>
      <c r="C22" s="3">
        <v>96831</v>
      </c>
      <c r="D22" s="3">
        <v>282565</v>
      </c>
      <c r="E22" s="3">
        <v>81830</v>
      </c>
      <c r="G22" s="1" t="s">
        <v>20</v>
      </c>
      <c r="H22" s="3">
        <v>360856761</v>
      </c>
      <c r="I22" s="3">
        <v>305960008</v>
      </c>
      <c r="J22" s="3">
        <v>754537231</v>
      </c>
      <c r="K22" s="3">
        <v>218495081</v>
      </c>
    </row>
    <row r="23" spans="1:11" x14ac:dyDescent="0.45">
      <c r="A23" s="1" t="s">
        <v>21</v>
      </c>
      <c r="B23" s="3">
        <v>34591</v>
      </c>
      <c r="C23" s="3">
        <v>99000</v>
      </c>
      <c r="D23" s="3">
        <v>278012</v>
      </c>
      <c r="E23" s="3">
        <v>82414</v>
      </c>
      <c r="G23" s="1" t="s">
        <v>21</v>
      </c>
      <c r="H23" s="3">
        <v>359690001</v>
      </c>
      <c r="I23" s="3">
        <v>323247058</v>
      </c>
      <c r="J23" s="3">
        <v>760869424</v>
      </c>
      <c r="K23" s="3">
        <v>225523388</v>
      </c>
    </row>
  </sheetData>
  <mergeCells count="2">
    <mergeCell ref="B3:E3"/>
    <mergeCell ref="H3:K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workbookViewId="0">
      <selection activeCell="E6" sqref="E6"/>
    </sheetView>
  </sheetViews>
  <sheetFormatPr defaultRowHeight="14.25" x14ac:dyDescent="0.45"/>
  <cols>
    <col min="1" max="1" width="10.86328125" bestFit="1" customWidth="1"/>
    <col min="2" max="2" width="10" bestFit="1" customWidth="1"/>
  </cols>
  <sheetData>
    <row r="1" spans="1:2" x14ac:dyDescent="0.45">
      <c r="A1" t="s">
        <v>33</v>
      </c>
      <c r="B1" t="s">
        <v>34</v>
      </c>
    </row>
    <row r="2" spans="1:2" x14ac:dyDescent="0.45">
      <c r="A2" t="s">
        <v>35</v>
      </c>
      <c r="B2" t="s">
        <v>36</v>
      </c>
    </row>
    <row r="3" spans="1:2" x14ac:dyDescent="0.45">
      <c r="A3" t="s">
        <v>37</v>
      </c>
      <c r="B3" t="s">
        <v>36</v>
      </c>
    </row>
    <row r="4" spans="1:2" x14ac:dyDescent="0.45">
      <c r="A4" t="s">
        <v>38</v>
      </c>
      <c r="B4" t="s">
        <v>36</v>
      </c>
    </row>
    <row r="5" spans="1:2" x14ac:dyDescent="0.45">
      <c r="A5" t="s">
        <v>39</v>
      </c>
      <c r="B5" t="s">
        <v>40</v>
      </c>
    </row>
    <row r="6" spans="1:2" x14ac:dyDescent="0.45">
      <c r="A6" t="s">
        <v>41</v>
      </c>
      <c r="B6" t="s">
        <v>40</v>
      </c>
    </row>
    <row r="7" spans="1:2" x14ac:dyDescent="0.45">
      <c r="A7" t="s">
        <v>43</v>
      </c>
      <c r="B7" t="s">
        <v>36</v>
      </c>
    </row>
    <row r="8" spans="1:2" x14ac:dyDescent="0.45">
      <c r="A8" t="s">
        <v>44</v>
      </c>
      <c r="B8" t="s">
        <v>36</v>
      </c>
    </row>
    <row r="9" spans="1:2" x14ac:dyDescent="0.45">
      <c r="A9" t="s">
        <v>45</v>
      </c>
      <c r="B9" t="s">
        <v>36</v>
      </c>
    </row>
    <row r="10" spans="1:2" x14ac:dyDescent="0.45">
      <c r="A10" t="s">
        <v>46</v>
      </c>
      <c r="B10" t="s">
        <v>36</v>
      </c>
    </row>
    <row r="11" spans="1:2" x14ac:dyDescent="0.45">
      <c r="A11" t="s">
        <v>47</v>
      </c>
      <c r="B11" t="s">
        <v>36</v>
      </c>
    </row>
    <row r="12" spans="1:2" x14ac:dyDescent="0.45">
      <c r="A12" t="s">
        <v>48</v>
      </c>
      <c r="B12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Problems</vt:lpstr>
      <vt:lpstr>Data 1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</dc:creator>
  <cp:lastModifiedBy>Timothy Susca</cp:lastModifiedBy>
  <dcterms:created xsi:type="dcterms:W3CDTF">2011-09-02T00:58:32Z</dcterms:created>
  <dcterms:modified xsi:type="dcterms:W3CDTF">2025-08-08T19:15:35Z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-1459514469</vt:i4>
  </property>
  <property fmtid="{D5CDD505-2E9C-101B-9397-08002B2CF9AE}" pid="3" name="_NewReviewCycle">
    <vt:lpwstr/>
  </property>
  <property fmtid="{D5CDD505-2E9C-101B-9397-08002B2CF9AE}" pid="4" name="_EmailSubject">
    <vt:lpwstr>MATH 283 - week 3 materials (and HW)</vt:lpwstr>
  </property>
  <property fmtid="{D5CDD505-2E9C-101B-9397-08002B2CF9AE}" pid="5" name="_AuthorEmail">
    <vt:lpwstr>rama.duvvuri.lcma@statefarm.com</vt:lpwstr>
  </property>
  <property fmtid="{D5CDD505-2E9C-101B-9397-08002B2CF9AE}" pid="6" name="_AuthorEmailDisplayName">
    <vt:lpwstr>Rama Duvvuri</vt:lpwstr>
  </property>
  <property fmtid="{D5CDD505-2E9C-101B-9397-08002B2CF9AE}" pid="7" name="_ReviewingToolsShownOnce">
    <vt:lpwstr/>
  </property>
</Properties>
</file>